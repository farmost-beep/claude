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s Analysis" sheetId="1" state="visible" r:id="rId1"/>
    <sheet xmlns:r="http://schemas.openxmlformats.org/officeDocument/2006/relationships" name="DCF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x"/>
    <numFmt numFmtId="166" formatCode="0.0000"/>
    <numFmt numFmtId="167" formatCode="0.0"/>
  </numFmts>
  <fonts count="13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color rgb="001F4E79"/>
      <sz val="10"/>
    </font>
    <font>
      <name val="Times New Roman"/>
      <i val="1"/>
      <color rgb="00666666"/>
      <sz val="10"/>
    </font>
    <font>
      <name val="Times New Roman"/>
      <b val="1"/>
      <color rgb="00000000"/>
      <sz val="11"/>
    </font>
    <font>
      <name val="Times New Roman"/>
      <color rgb="00000000"/>
      <sz val="11"/>
    </font>
    <font>
      <name val="Times New Roman"/>
      <color rgb="000000FF"/>
      <sz val="11"/>
    </font>
    <font>
      <name val="Times New Roman"/>
      <i val="1"/>
      <color rgb="00999999"/>
      <sz val="11"/>
    </font>
    <font>
      <name val="Times New Roman"/>
      <color rgb="00000000"/>
      <sz val="10"/>
    </font>
    <font>
      <name val="Times New Roman"/>
      <b val="1"/>
      <color rgb="001F4E79"/>
      <sz val="12"/>
    </font>
    <font>
      <name val="Times New Roman"/>
      <i val="1"/>
      <color rgb="00666666"/>
      <sz val="11"/>
    </font>
    <font>
      <name val="Times New Roman"/>
      <b val="1"/>
      <sz val="11"/>
    </font>
    <font>
      <name val="Times New Roman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E8F0FE"/>
        <b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3" fontId="6" fillId="3" borderId="0" applyAlignment="1" pivotButton="0" quotePrefix="0" xfId="0">
      <alignment horizontal="center" vertical="center" wrapText="1"/>
    </xf>
    <xf numFmtId="164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164" fontId="5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164" fontId="4" fillId="5" borderId="0" applyAlignment="1" pivotButton="0" quotePrefix="0" xfId="0">
      <alignment horizontal="center" vertical="center" wrapText="1"/>
    </xf>
    <xf numFmtId="165" fontId="5" fillId="3" borderId="0" applyAlignment="1" pivotButton="0" quotePrefix="0" xfId="0">
      <alignment horizontal="center" vertical="center" wrapText="1"/>
    </xf>
    <xf numFmtId="165" fontId="6" fillId="3" borderId="0" applyAlignment="1" pivotButton="0" quotePrefix="0" xfId="0">
      <alignment horizontal="center" vertical="center" wrapText="1"/>
    </xf>
    <xf numFmtId="2" fontId="6" fillId="3" borderId="0" applyAlignment="1" pivotButton="0" quotePrefix="0" xfId="0">
      <alignment horizontal="center" vertical="center" wrapText="1"/>
    </xf>
    <xf numFmtId="165" fontId="4" fillId="5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 wrapText="1"/>
    </xf>
    <xf numFmtId="10" fontId="6" fillId="3" borderId="0" applyAlignment="1" pivotButton="0" quotePrefix="0" xfId="0">
      <alignment horizontal="center" vertical="center" wrapText="1"/>
    </xf>
    <xf numFmtId="10" fontId="5" fillId="3" borderId="0" applyAlignment="1" pivotButton="0" quotePrefix="0" xfId="0">
      <alignment horizontal="center" vertical="center" wrapText="1"/>
    </xf>
    <xf numFmtId="10" fontId="9" fillId="4" borderId="0" applyAlignment="1" pivotButton="0" quotePrefix="0" xfId="0">
      <alignment horizontal="center" vertical="center" wrapText="1"/>
    </xf>
    <xf numFmtId="3" fontId="5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3" fontId="4" fillId="6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left" vertical="center" wrapText="1"/>
    </xf>
    <xf numFmtId="166" fontId="5" fillId="3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left" vertical="center" wrapText="1"/>
    </xf>
    <xf numFmtId="3" fontId="12" fillId="4" borderId="0" applyAlignment="1" pivotButton="0" quotePrefix="0" xfId="0">
      <alignment horizontal="center" vertical="center" wrapText="1"/>
    </xf>
    <xf numFmtId="3" fontId="1" fillId="2" borderId="0" applyAlignment="1" pivotButton="0" quotePrefix="0" xfId="0">
      <alignment horizontal="center" vertical="center" wrapText="1"/>
    </xf>
    <xf numFmtId="167" fontId="5" fillId="3" borderId="0" applyAlignment="1" pivotButton="0" quotePrefix="0" xfId="0">
      <alignment horizontal="center" vertical="center" wrapText="1"/>
    </xf>
    <xf numFmtId="167" fontId="12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Analyst</author>
  </authors>
  <commentList>
    <comment ref="C7" authorId="0" shapeId="0">
      <text>
        <t>FY2025 annual report. Revenue +44.78% YoY, driven by AI short drama (+865%) and Opera (+28%).</t>
      </text>
    </comment>
    <comment ref="D7" authorId="0" shapeId="0">
      <text>
        <t>FY2025 annual report. Revenue +44.78% YoY, driven by AI short drama (+865%) and Opera (+28%).</t>
      </text>
    </comment>
    <comment ref="E7" authorId="0" shapeId="0">
      <text>
        <t>FY2025 annual report. Revenue +44.78% YoY, driven by AI short drama (+865%) and Opera (+28%).</t>
      </text>
    </comment>
    <comment ref="H7" authorId="0" shapeId="0">
      <text>
        <t>FY2025 annual report. Revenue +44.78% YoY, driven by AI short drama (+865%) and Opera (+28%).</t>
      </text>
    </comment>
    <comment ref="J7" authorId="0" shapeId="0">
      <text>
        <t>FY2025 annual report. Revenue +44.78% YoY, driven by AI short drama (+865%) and Opera (+28%).</t>
      </text>
    </comment>
    <comment ref="C8" authorId="0" shapeId="0">
      <text>
        <t>FY2025 annual report. Kuaishou 2025 annual results. Revenue +12.5% YoY.</t>
      </text>
    </comment>
    <comment ref="D8" authorId="0" shapeId="0">
      <text>
        <t>FY2025 annual report. Kuaishou 2025 annual results. Revenue +12.5% YoY.</t>
      </text>
    </comment>
    <comment ref="E8" authorId="0" shapeId="0">
      <text>
        <t>FY2025 annual report. Kuaishou 2025 annual results. Revenue +12.5% YoY.</t>
      </text>
    </comment>
    <comment ref="F8" authorId="0" shapeId="0">
      <text>
        <t>FY2025 annual report. Kuaishou 2025 annual results. Revenue +12.5% YoY.</t>
      </text>
    </comment>
    <comment ref="H8" authorId="0" shapeId="0">
      <text>
        <t>FY2025 annual report. Kuaishou 2025 annual results. Revenue +12.5% YoY.</t>
      </text>
    </comment>
    <comment ref="C9" authorId="0" shapeId="0">
      <text>
        <t>FY2025 annual report. Baidu 2025 annual. Revenue -3.04% YoY. Non-GAAP adjusted NI ~RMB 17.8B.</t>
      </text>
    </comment>
    <comment ref="D9" authorId="0" shapeId="0">
      <text>
        <t>FY2025 annual report. Baidu 2025 annual. Revenue -3.04% YoY. Non-GAAP adjusted NI ~RMB 17.8B.</t>
      </text>
    </comment>
    <comment ref="E9" authorId="0" shapeId="0">
      <text>
        <t>FY2025 annual report. Baidu 2025 annual. Revenue -3.04% YoY. Non-GAAP adjusted NI ~RMB 17.8B.</t>
      </text>
    </comment>
    <comment ref="F9" authorId="0" shapeId="0">
      <text>
        <t>FY2025 annual report. Baidu 2025 annual. Revenue -3.04% YoY. Non-GAAP adjusted NI ~RMB 17.8B.</t>
      </text>
    </comment>
    <comment ref="H9" authorId="0" shapeId="0">
      <text>
        <t>FY2025 annual report. Baidu 2025 annual. Revenue -3.04% YoY. Non-GAAP adjusted NI ~RMB 17.8B.</t>
      </text>
    </comment>
    <comment ref="C10" authorId="0" shapeId="0">
      <text>
        <t>FY2025 annual report. SenseTime 2025 annual. H2 EBITDA turned positive for first time since IPO.</t>
      </text>
    </comment>
    <comment ref="D10" authorId="0" shapeId="0">
      <text>
        <t>FY2025 annual report. SenseTime 2025 annual. H2 EBITDA turned positive for first time since IPO.</t>
      </text>
    </comment>
    <comment ref="E10" authorId="0" shapeId="0">
      <text>
        <t>FY2025 annual report. SenseTime 2025 annual. H2 EBITDA turned positive for first time since IPO.</t>
      </text>
    </comment>
    <comment ref="F10" authorId="0" shapeId="0">
      <text>
        <t>FY2025 annual report. SenseTime 2025 annual. H2 EBITDA turned positive for first time since IPO.</t>
      </text>
    </comment>
    <comment ref="H10" authorId="0" shapeId="0">
      <text>
        <t>FY2025 annual report. SenseTime 2025 annual. H2 EBITDA turned positive for first time since IPO.</t>
      </text>
    </comment>
    <comment ref="C11" authorId="0" shapeId="0">
      <text>
        <t>FY2025 annual report. iFLYTEK 2025 annual. Operating CF of RMB 3.2B is record high.</t>
      </text>
    </comment>
    <comment ref="D11" authorId="0" shapeId="0">
      <text>
        <t>FY2025 annual report. iFLYTEK 2025 annual. Operating CF of RMB 3.2B is record high.</t>
      </text>
    </comment>
    <comment ref="E11" authorId="0" shapeId="0">
      <text>
        <t>FY2025 annual report. iFLYTEK 2025 annual. Operating CF of RMB 3.2B is record high.</t>
      </text>
    </comment>
    <comment ref="F11" authorId="0" shapeId="0">
      <text>
        <t>FY2025 annual report. iFLYTEK 2025 annual. Operating CF of RMB 3.2B is record high.</t>
      </text>
    </comment>
    <comment ref="H11" authorId="0" shapeId="0">
      <text>
        <t>FY2025 annual report. iFLYTEK 2025 annual. Operating CF of RMB 3.2B is record high.</t>
      </text>
    </comment>
    <comment ref="J11" authorId="0" shapeId="0">
      <text>
        <t>FY2025 annual report. iFLYTEK 2025 annual. Operating CF of RMB 3.2B is record high.</t>
      </text>
    </comment>
    <comment ref="C12" authorId="0" shapeId="0">
      <text>
        <t>FY2025 annual report. China Literature 2025 annual. IFRS loss includes RMB 1.8B goodwill impairment on New Classics.</t>
      </text>
    </comment>
    <comment ref="D12" authorId="0" shapeId="0">
      <text>
        <t>FY2025 annual report. China Literature 2025 annual. IFRS loss includes RMB 1.8B goodwill impairment on New Classics.</t>
      </text>
    </comment>
    <comment ref="E12" authorId="0" shapeId="0">
      <text>
        <t>FY2025 annual report. China Literature 2025 annual. IFRS loss includes RMB 1.8B goodwill impairment on New Classics.</t>
      </text>
    </comment>
    <comment ref="F12" authorId="0" shapeId="0">
      <text>
        <t>FY2025 annual report. China Literature 2025 annual. IFRS loss includes RMB 1.8B goodwill impairment on New Classics.</t>
      </text>
    </comment>
    <comment ref="H12" authorId="0" shapeId="0">
      <text>
        <t>FY2025 annual report. China Literature 2025 annual. IFRS loss includes RMB 1.8B goodwill impairment on New Classics.</t>
      </text>
    </comment>
    <comment ref="C22" authorId="0" shapeId="0">
      <text>
        <t>Market cap ~RMB 58.3B at 46.42/share × 1.255B shares. EV = MktCap + debt - cash; ~RMB 4.5B net cash assumed.</t>
      </text>
    </comment>
    <comment ref="D22" authorId="0" shapeId="0">
      <text>
        <t>Market cap ~RMB 58.3B at 46.42/share × 1.255B shares. EV = MktCap + debt - cash; ~RMB 4.5B net cash assumed.</t>
      </text>
    </comment>
    <comment ref="H22" authorId="0" shapeId="0">
      <text>
        <t>Market cap ~RMB 58.3B at 46.42/share × 1.255B shares. EV = MktCap + debt - cash; ~RMB 4.5B net cash assumed.</t>
      </text>
    </comment>
    <comment ref="I22" authorId="0" shapeId="0">
      <text>
        <t>Market cap ~RMB 58.3B at 46.42/share × 1.255B shares. EV = MktCap + debt - cash; ~RMB 4.5B net cash assumed.</t>
      </text>
    </comment>
    <comment ref="J22" authorId="0" shapeId="0">
      <text>
        <t>Market cap ~RMB 58.3B at 46.42/share × 1.255B shares. EV = MktCap + debt - cash; ~RMB 4.5B net cash assumed.</t>
      </text>
    </comment>
    <comment ref="K22" authorId="0" shapeId="0">
      <text>
        <t>Market cap ~RMB 58.3B at 46.42/share × 1.255B shares. EV = MktCap + debt - cash; ~RMB 4.5B net cash assumed.</t>
      </text>
    </comment>
    <comment ref="C23" authorId="0" shapeId="0">
      <text>
        <t>HKD 198.65B market cap × 0.93 FX rate. EV = HKD 167.3B × 0.93. FY2025 dividend HKD 3B announced.</t>
      </text>
    </comment>
    <comment ref="D23" authorId="0" shapeId="0">
      <text>
        <t>HKD 198.65B market cap × 0.93 FX rate. EV = HKD 167.3B × 0.93. FY2025 dividend HKD 3B announced.</t>
      </text>
    </comment>
    <comment ref="H23" authorId="0" shapeId="0">
      <text>
        <t>HKD 198.65B market cap × 0.93 FX rate. EV = HKD 167.3B × 0.93. FY2025 dividend HKD 3B announced.</t>
      </text>
    </comment>
    <comment ref="I23" authorId="0" shapeId="0">
      <text>
        <t>HKD 198.65B market cap × 0.93 FX rate. EV = HKD 167.3B × 0.93. FY2025 dividend HKD 3B announced.</t>
      </text>
    </comment>
    <comment ref="J23" authorId="0" shapeId="0">
      <text>
        <t>HKD 198.65B market cap × 0.93 FX rate. EV = HKD 167.3B × 0.93. FY2025 dividend HKD 3B announced.</t>
      </text>
    </comment>
    <comment ref="K23" authorId="0" shapeId="0">
      <text>
        <t>HKD 198.65B market cap × 0.93 FX rate. EV = HKD 167.3B × 0.93. FY2025 dividend HKD 3B announced.</t>
      </text>
    </comment>
    <comment ref="C24" authorId="0" shapeId="0">
      <text>
        <t>HKD 3,433B market cap × 0.93 FX rate. EV = HKD 3,306B × 0.93. Q4 2025 results; new $5B buyback approved.</t>
      </text>
    </comment>
    <comment ref="D24" authorId="0" shapeId="0">
      <text>
        <t>HKD 3,433B market cap × 0.93 FX rate. EV = HKD 3,306B × 0.93. Q4 2025 results; new $5B buyback approved.</t>
      </text>
    </comment>
    <comment ref="H24" authorId="0" shapeId="0">
      <text>
        <t>HKD 3,433B market cap × 0.93 FX rate. EV = HKD 3,306B × 0.93. Q4 2025 results; new $5B buyback approved.</t>
      </text>
    </comment>
    <comment ref="I24" authorId="0" shapeId="0">
      <text>
        <t>HKD 3,433B market cap × 0.93 FX rate. EV = HKD 3,306B × 0.93. Q4 2025 results; new $5B buyback approved.</t>
      </text>
    </comment>
    <comment ref="J24" authorId="0" shapeId="0">
      <text>
        <t>HKD 3,433B market cap × 0.93 FX rate. EV = HKD 3,306B × 0.93. Q4 2025 results; new $5B buyback approved.</t>
      </text>
    </comment>
    <comment ref="K24" authorId="0" shapeId="0">
      <text>
        <t>HKD 3,433B market cap × 0.93 FX rate. EV = HKD 3,306B × 0.93. Q4 2025 results; new $5B buyback approved.</t>
      </text>
    </comment>
    <comment ref="C25" authorId="0" shapeId="0">
      <text>
        <t>Market cap ~HKD 72B × 0.93. H2 2025 EBITDA turned positive. No dividend. Pre-revenue AI company.</t>
      </text>
    </comment>
    <comment ref="D25" authorId="0" shapeId="0">
      <text>
        <t>Market cap ~HKD 72B × 0.93. H2 2025 EBITDA turned positive. No dividend. Pre-revenue AI company.</t>
      </text>
    </comment>
    <comment ref="H25" authorId="0" shapeId="0">
      <text>
        <t>Market cap ~HKD 72B × 0.93. H2 2025 EBITDA turned positive. No dividend. Pre-revenue AI company.</t>
      </text>
    </comment>
    <comment ref="I25" authorId="0" shapeId="0">
      <text>
        <t>Market cap ~HKD 72B × 0.93. H2 2025 EBITDA turned positive. No dividend. Pre-revenue AI company.</t>
      </text>
    </comment>
    <comment ref="J25" authorId="0" shapeId="0">
      <text>
        <t>Market cap ~HKD 72B × 0.93. H2 2025 EBITDA turned positive. No dividend. Pre-revenue AI company.</t>
      </text>
    </comment>
    <comment ref="K25" authorId="0" shapeId="0">
      <text>
        <t>Market cap ~HKD 72B × 0.93. H2 2025 EBITDA turned positive. No dividend. Pre-revenue AI company.</t>
      </text>
    </comment>
    <comment ref="C26" authorId="0" shapeId="0">
      <text>
        <t>Market cap ~RMB 1,135-1,207B range mid. EV estimated. PE TTM ~135x. Dividend 0.1/share (0.2% yield).</t>
      </text>
    </comment>
    <comment ref="D26" authorId="0" shapeId="0">
      <text>
        <t>Market cap ~RMB 1,135-1,207B range mid. EV estimated. PE TTM ~135x. Dividend 0.1/share (0.2% yield).</t>
      </text>
    </comment>
    <comment ref="H26" authorId="0" shapeId="0">
      <text>
        <t>Market cap ~RMB 1,135-1,207B range mid. EV estimated. PE TTM ~135x. Dividend 0.1/share (0.2% yield).</t>
      </text>
    </comment>
    <comment ref="I26" authorId="0" shapeId="0">
      <text>
        <t>Market cap ~RMB 1,135-1,207B range mid. EV estimated. PE TTM ~135x. Dividend 0.1/share (0.2% yield).</t>
      </text>
    </comment>
    <comment ref="J26" authorId="0" shapeId="0">
      <text>
        <t>Market cap ~RMB 1,135-1,207B range mid. EV estimated. PE TTM ~135x. Dividend 0.1/share (0.2% yield).</t>
      </text>
    </comment>
    <comment ref="K26" authorId="0" shapeId="0">
      <text>
        <t>Market cap ~RMB 1,135-1,207B range mid. EV estimated. PE TTM ~135x. Dividend 0.1/share (0.2% yield).</t>
      </text>
    </comment>
    <comment ref="C27" authorId="0" shapeId="0">
      <text>
        <t>Market cap ~HKD 24.2B × 0.93. Net cash RMB 9.4B, so EV = MktCap - 9.4B. No dividend.</t>
      </text>
    </comment>
    <comment ref="D27" authorId="0" shapeId="0">
      <text>
        <t>Market cap ~HKD 24.2B × 0.93. Net cash RMB 9.4B, so EV = MktCap - 9.4B. No dividend.</t>
      </text>
    </comment>
    <comment ref="H27" authorId="0" shapeId="0">
      <text>
        <t>Market cap ~HKD 24.2B × 0.93. Net cash RMB 9.4B, so EV = MktCap - 9.4B. No dividend.</t>
      </text>
    </comment>
    <comment ref="I27" authorId="0" shapeId="0">
      <text>
        <t>Market cap ~HKD 24.2B × 0.93. Net cash RMB 9.4B, so EV = MktCap - 9.4B. No dividend.</t>
      </text>
    </comment>
    <comment ref="J27" authorId="0" shapeId="0">
      <text>
        <t>Market cap ~HKD 24.2B × 0.93. Net cash RMB 9.4B, so EV = MktCap - 9.4B. No dividend.</t>
      </text>
    </comment>
    <comment ref="K27" authorId="0" shapeId="0">
      <text>
        <t>Market cap ~HKD 24.2B × 0.93. Net cash RMB 9.4B, so EV = MktCap - 9.4B. No dividend.</t>
      </text>
    </comment>
  </commentList>
</comments>
</file>

<file path=xl/comments/comment2.xml><?xml version="1.0" encoding="utf-8"?>
<comments xmlns="http://schemas.openxmlformats.org/spreadsheetml/2006/main">
  <authors>
    <author>Analyst</author>
  </authors>
  <commentList>
    <comment ref="B5" authorId="0" shapeId="0">
      <text>
        <t>China 10Y govt bond yield, May 2026</t>
      </text>
    </comment>
    <comment ref="B6" authorId="0" shapeId="0">
      <text>
        <t>Damodaran 2026 China ERP estimate</t>
      </text>
    </comment>
    <comment ref="B7" authorId="0" shapeId="0">
      <text>
        <t>Bloomberg / market data; 1.35 for high-growth tech</t>
      </text>
    </comment>
    <comment ref="B9" authorId="0" shapeId="0">
      <text>
        <t>Estimated corp bond yield for AA- rated firm</t>
      </text>
    </comment>
    <comment ref="B10" authorId="0" shapeId="0">
      <text>
        <t>15% High-Tech Enterprise tax rate</t>
      </text>
    </comment>
    <comment ref="B12" authorId="0" shapeId="0">
      <text>
        <t>Debt ratio conservative; company cash-rich</t>
      </text>
    </comment>
    <comment ref="B13" authorId="0" shapeId="0">
      <text>
        <t>=1 - Debt/TotCap</t>
      </text>
    </comment>
    <comment ref="B18" authorId="0" shapeId="0">
      <text>
        <t>Stable cash cow, AI integration drives ARPU</t>
      </text>
    </comment>
    <comment ref="B19" authorId="0" shapeId="0">
      <text>
        <t>Hypergrowth → mature; ARR $570M run-rate</t>
      </text>
    </comment>
    <comment ref="B20" authorId="0" shapeId="0">
      <text>
        <t>SkyClaw Agent monetization ramp</t>
      </text>
    </comment>
    <comment ref="B21" authorId="0" shapeId="0">
      <text>
        <t>Mature, slow decline</t>
      </text>
    </comment>
    <comment ref="B22" authorId="0" shapeId="0">
      <text>
        <t>Managed decline</t>
      </text>
    </comment>
    <comment ref="B23" authorId="0" shapeId="0">
      <text>
        <t>Minor segments</t>
      </text>
    </comment>
    <comment ref="B51" authorId="0" shapeId="0">
      <text>
        <t>Based on CAPM calculation above, rounded to 10.5%</t>
      </text>
    </comment>
    <comment ref="B52" authorId="0" shapeId="0">
      <text>
        <t>China long-term nominal GDP growth proxy</t>
      </text>
    </comment>
    <comment ref="B59" authorId="0" shapeId="0">
      <text>
        <t>FY2025 balance sheet</t>
      </text>
    </comment>
    <comment ref="B60" authorId="0" shapeId="0">
      <text>
        <t>Stakes in Xiaoma, Zhuimi, Qudian etc.</t>
      </text>
    </comment>
    <comment ref="B61" authorId="0" shapeId="0">
      <text>
        <t>Market value of Opera ADR stake</t>
      </text>
    </comment>
    <comment ref="B62" authorId="0" shapeId="0">
      <text>
        <t>Latest funding round valuation × stake</t>
      </text>
    </comment>
    <comment ref="B63" authorId="0" shapeId="0">
      <text>
        <t>Estimated from 26.8% D/E ratio</t>
      </text>
    </comment>
    <comment ref="B64" authorId="0" shapeId="0">
      <text>
        <t>Estimated</t>
      </text>
    </comment>
    <comment ref="B67" authorId="0" shapeId="0">
      <text>
        <t>1,255 million shares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8" customWidth="1" min="5" max="5"/>
    <col width="14" customWidth="1" min="6" max="6"/>
    <col width="18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AI应用/互联网 — COMPARABLE COMPANY ANALYSIS</t>
        </is>
      </c>
    </row>
    <row r="2">
      <c r="A2" s="2" t="inlineStr">
        <is>
          <t>昆仑万维 (300418.SZ) • 快手 (1024.HK) • 百度 (9888.HK) • 商汤 (0020.HK) • 科大讯飞 (002230.SZ) • 阅文集团 (0772.HK)</t>
        </is>
      </c>
    </row>
    <row r="3">
      <c r="A3" s="3" t="inlineStr">
        <is>
          <t>As of FY2025 / May 27, 2026 | All figures in RMB Millions except per-share amounts and ratios | HKD converted at 0.93</t>
        </is>
      </c>
    </row>
    <row r="5">
      <c r="A5" s="1" t="inlineStr">
        <is>
          <t>OPERATING STATISTICS &amp; FINANCIAL METRICS</t>
        </is>
      </c>
    </row>
    <row r="6">
      <c r="A6" s="4" t="inlineStr">
        <is>
          <t>Company</t>
        </is>
      </c>
      <c r="B6" s="4" t="inlineStr">
        <is>
          <t>Ticker</t>
        </is>
      </c>
      <c r="C6" s="4" t="inlineStr">
        <is>
          <t>Revenue
(LTM, M RMB)</t>
        </is>
      </c>
      <c r="D6" s="4" t="inlineStr">
        <is>
          <t>Revenue Growth
(YoY %)</t>
        </is>
      </c>
      <c r="E6" s="4" t="inlineStr">
        <is>
          <t>Gross Margin
(%)</t>
        </is>
      </c>
      <c r="F6" s="4" t="inlineStr">
        <is>
          <t>EBITDA
(LTM, M RMB)</t>
        </is>
      </c>
      <c r="G6" s="4" t="inlineStr">
        <is>
          <t>EBITDA Margin
(%)</t>
        </is>
      </c>
      <c r="H6" s="4" t="inlineStr">
        <is>
          <t>Net Income
(LTM, M RMB)</t>
        </is>
      </c>
      <c r="I6" s="4" t="inlineStr">
        <is>
          <t>Net Margin
(%)</t>
        </is>
      </c>
      <c r="J6" s="4" t="inlineStr">
        <is>
          <t>FCF
(LTM, M RMB)</t>
        </is>
      </c>
      <c r="K6" s="4" t="inlineStr">
        <is>
          <t>FCF Margin
(%)</t>
        </is>
      </c>
    </row>
    <row r="7">
      <c r="A7" s="5" t="inlineStr">
        <is>
          <t>昆仑万维</t>
        </is>
      </c>
      <c r="B7" s="6" t="inlineStr">
        <is>
          <t>300418.SZ</t>
        </is>
      </c>
      <c r="C7" s="7" t="n">
        <v>8198</v>
      </c>
      <c r="D7" s="8" t="n">
        <v>0.448</v>
      </c>
      <c r="E7" s="8" t="n">
        <v>0.6859999999999999</v>
      </c>
      <c r="F7" s="9" t="inlineStr">
        <is>
          <t>NM</t>
        </is>
      </c>
      <c r="G7" s="9" t="inlineStr">
        <is>
          <t>NM</t>
        </is>
      </c>
      <c r="H7" s="7" t="n">
        <v>-1593</v>
      </c>
      <c r="I7" s="10">
        <f>H7/C7</f>
        <v/>
      </c>
      <c r="J7" s="7" t="n">
        <v>-736</v>
      </c>
      <c r="K7" s="10">
        <f>J7/C7</f>
        <v/>
      </c>
    </row>
    <row r="8">
      <c r="A8" s="5" t="inlineStr">
        <is>
          <t>快手</t>
        </is>
      </c>
      <c r="B8" s="6" t="inlineStr">
        <is>
          <t>1024.HK</t>
        </is>
      </c>
      <c r="C8" s="7" t="n">
        <v>142780</v>
      </c>
      <c r="D8" s="8" t="n">
        <v>0.125</v>
      </c>
      <c r="E8" s="8" t="n">
        <v>0.55</v>
      </c>
      <c r="F8" s="7" t="n">
        <v>21800</v>
      </c>
      <c r="G8" s="10">
        <f>F8/C8</f>
        <v/>
      </c>
      <c r="H8" s="7" t="n">
        <v>18620</v>
      </c>
      <c r="I8" s="10">
        <f>H8/C8</f>
        <v/>
      </c>
      <c r="J8" s="9" t="inlineStr">
        <is>
          <t>N/A</t>
        </is>
      </c>
      <c r="K8" s="9" t="inlineStr">
        <is>
          <t>N/A</t>
        </is>
      </c>
    </row>
    <row r="9">
      <c r="A9" s="5" t="inlineStr">
        <is>
          <t>百度</t>
        </is>
      </c>
      <c r="B9" s="6" t="inlineStr">
        <is>
          <t>9888.HK</t>
        </is>
      </c>
      <c r="C9" s="7" t="n">
        <v>1290790</v>
      </c>
      <c r="D9" s="8" t="n">
        <v>-0.03</v>
      </c>
      <c r="E9" s="8" t="n">
        <v>0.48</v>
      </c>
      <c r="F9" s="7" t="n">
        <v>228570</v>
      </c>
      <c r="G9" s="10">
        <f>F9/C9</f>
        <v/>
      </c>
      <c r="H9" s="7" t="n">
        <v>4663</v>
      </c>
      <c r="I9" s="10">
        <f>H9/C9</f>
        <v/>
      </c>
      <c r="J9" s="9" t="inlineStr">
        <is>
          <t>N/A</t>
        </is>
      </c>
      <c r="K9" s="9" t="inlineStr">
        <is>
          <t>N/A</t>
        </is>
      </c>
    </row>
    <row r="10">
      <c r="A10" s="5" t="inlineStr">
        <is>
          <t>商汤</t>
        </is>
      </c>
      <c r="B10" s="6" t="inlineStr">
        <is>
          <t>0020.HK</t>
        </is>
      </c>
      <c r="C10" s="7" t="n">
        <v>5015</v>
      </c>
      <c r="D10" s="8" t="n">
        <v>0.329</v>
      </c>
      <c r="E10" s="8" t="n">
        <v>0.41</v>
      </c>
      <c r="F10" s="7" t="n">
        <v>376</v>
      </c>
      <c r="G10" s="10">
        <f>F10/C10</f>
        <v/>
      </c>
      <c r="H10" s="7" t="n">
        <v>-1766</v>
      </c>
      <c r="I10" s="10">
        <f>H10/C10</f>
        <v/>
      </c>
      <c r="J10" s="9" t="inlineStr">
        <is>
          <t>N/A</t>
        </is>
      </c>
      <c r="K10" s="9" t="inlineStr">
        <is>
          <t>N/A</t>
        </is>
      </c>
    </row>
    <row r="11">
      <c r="A11" s="5" t="inlineStr">
        <is>
          <t>科大讯飞</t>
        </is>
      </c>
      <c r="B11" s="6" t="inlineStr">
        <is>
          <t>002230.SZ</t>
        </is>
      </c>
      <c r="C11" s="7" t="n">
        <v>27105</v>
      </c>
      <c r="D11" s="8" t="n">
        <v>0.161</v>
      </c>
      <c r="E11" s="8" t="n">
        <v>0.424</v>
      </c>
      <c r="F11" s="7" t="n">
        <v>470</v>
      </c>
      <c r="G11" s="10">
        <f>F11/C11</f>
        <v/>
      </c>
      <c r="H11" s="7" t="n">
        <v>839</v>
      </c>
      <c r="I11" s="10">
        <f>H11/C11</f>
        <v/>
      </c>
      <c r="J11" s="7" t="n">
        <v>3208</v>
      </c>
      <c r="K11" s="10">
        <f>J11/C11</f>
        <v/>
      </c>
    </row>
    <row r="12">
      <c r="A12" s="5" t="inlineStr">
        <is>
          <t>阅文集团</t>
        </is>
      </c>
      <c r="B12" s="6" t="inlineStr">
        <is>
          <t>0772.HK</t>
        </is>
      </c>
      <c r="C12" s="7" t="n">
        <v>7366</v>
      </c>
      <c r="D12" s="8" t="n">
        <v>-0.09300000000000001</v>
      </c>
      <c r="E12" s="8" t="n">
        <v>0.461</v>
      </c>
      <c r="F12" s="7" t="n">
        <v>614</v>
      </c>
      <c r="G12" s="10">
        <f>F12/C12</f>
        <v/>
      </c>
      <c r="H12" s="7" t="n">
        <v>-776</v>
      </c>
      <c r="I12" s="10">
        <f>H12/C12</f>
        <v/>
      </c>
      <c r="J12" s="9" t="inlineStr">
        <is>
          <t>N/A</t>
        </is>
      </c>
      <c r="K12" s="9" t="inlineStr">
        <is>
          <t>N/A</t>
        </is>
      </c>
    </row>
    <row r="14">
      <c r="A14" s="11" t="inlineStr">
        <is>
          <t>Maximum</t>
        </is>
      </c>
      <c r="B14" s="12" t="inlineStr"/>
      <c r="C14" s="12" t="inlineStr"/>
      <c r="D14" s="13">
        <f>MAX(D8:D12)</f>
        <v/>
      </c>
      <c r="E14" s="13">
        <f>MAX(E8:E12)</f>
        <v/>
      </c>
      <c r="F14" s="12" t="inlineStr"/>
      <c r="G14" s="12" t="inlineStr"/>
      <c r="H14" s="12" t="inlineStr"/>
      <c r="I14" s="12" t="inlineStr"/>
      <c r="J14" s="12" t="inlineStr"/>
      <c r="K14" s="12" t="inlineStr"/>
    </row>
    <row r="15">
      <c r="A15" s="11" t="inlineStr">
        <is>
          <t>75th Percentile</t>
        </is>
      </c>
      <c r="B15" s="12" t="inlineStr"/>
      <c r="C15" s="12" t="inlineStr"/>
      <c r="D15" s="13">
        <f>QUARTILE(D8:D12,3)</f>
        <v/>
      </c>
      <c r="E15" s="13">
        <f>QUARTILE(E8:E12,3)</f>
        <v/>
      </c>
      <c r="F15" s="12" t="inlineStr"/>
      <c r="G15" s="12" t="inlineStr"/>
      <c r="H15" s="12" t="inlineStr"/>
      <c r="I15" s="12" t="inlineStr"/>
      <c r="J15" s="12" t="inlineStr"/>
      <c r="K15" s="12" t="inlineStr"/>
    </row>
    <row r="16">
      <c r="A16" s="11" t="inlineStr">
        <is>
          <t>Median</t>
        </is>
      </c>
      <c r="B16" s="12" t="inlineStr"/>
      <c r="C16" s="12" t="inlineStr"/>
      <c r="D16" s="13">
        <f>MEDIAN(D8:D12)</f>
        <v/>
      </c>
      <c r="E16" s="13">
        <f>MEDIAN(E8:E12)</f>
        <v/>
      </c>
      <c r="F16" s="12" t="inlineStr"/>
      <c r="G16" s="12" t="inlineStr"/>
      <c r="H16" s="12" t="inlineStr"/>
      <c r="I16" s="12" t="inlineStr"/>
      <c r="J16" s="12" t="inlineStr"/>
      <c r="K16" s="12" t="inlineStr"/>
    </row>
    <row r="17">
      <c r="A17" s="11" t="inlineStr">
        <is>
          <t>25th Percentile</t>
        </is>
      </c>
      <c r="B17" s="12" t="inlineStr"/>
      <c r="C17" s="12" t="inlineStr"/>
      <c r="D17" s="13">
        <f>QUARTILE(D8:D12,1)</f>
        <v/>
      </c>
      <c r="E17" s="13">
        <f>QUARTILE(E8:E12,1)</f>
        <v/>
      </c>
      <c r="F17" s="12" t="inlineStr"/>
      <c r="G17" s="12" t="inlineStr"/>
      <c r="H17" s="12" t="inlineStr"/>
      <c r="I17" s="12" t="inlineStr"/>
      <c r="J17" s="12" t="inlineStr"/>
      <c r="K17" s="12" t="inlineStr"/>
    </row>
    <row r="18">
      <c r="A18" s="11" t="inlineStr">
        <is>
          <t>Minimum</t>
        </is>
      </c>
      <c r="B18" s="12" t="inlineStr"/>
      <c r="C18" s="12" t="inlineStr"/>
      <c r="D18" s="13">
        <f>MIN(D8:D12)</f>
        <v/>
      </c>
      <c r="E18" s="13">
        <f>MIN(E8:E12)</f>
        <v/>
      </c>
      <c r="F18" s="12" t="inlineStr"/>
      <c r="G18" s="12" t="inlineStr"/>
      <c r="H18" s="12" t="inlineStr"/>
      <c r="I18" s="12" t="inlineStr"/>
      <c r="J18" s="12" t="inlineStr"/>
      <c r="K18" s="12" t="inlineStr"/>
    </row>
    <row r="20">
      <c r="A20" s="1" t="inlineStr">
        <is>
          <t>VALUATION MULTIPLES &amp; MARKET METRICS</t>
        </is>
      </c>
    </row>
    <row r="21">
      <c r="A21" s="4" t="inlineStr">
        <is>
          <t>Company</t>
        </is>
      </c>
      <c r="B21" s="4" t="inlineStr">
        <is>
          <t>Ticker</t>
        </is>
      </c>
      <c r="C21" s="4" t="inlineStr">
        <is>
          <t>Market Cap
(M RMB)</t>
        </is>
      </c>
      <c r="D21" s="4" t="inlineStr">
        <is>
          <t>Enterprise Value
(M RMB)</t>
        </is>
      </c>
      <c r="E21" s="4" t="inlineStr">
        <is>
          <t>EV/Revenue
(x)</t>
        </is>
      </c>
      <c r="F21" s="4" t="inlineStr">
        <is>
          <t>EV/EBITDA
(x)</t>
        </is>
      </c>
      <c r="G21" s="4" t="inlineStr">
        <is>
          <t>P/E
(x)</t>
        </is>
      </c>
      <c r="H21" s="4" t="inlineStr">
        <is>
          <t>Price/Book
(x)</t>
        </is>
      </c>
      <c r="I21" s="4" t="inlineStr">
        <is>
          <t>Dividend Yield
(%)</t>
        </is>
      </c>
      <c r="J21" s="4" t="inlineStr">
        <is>
          <t>Revenue CAGR
(3yr %)</t>
        </is>
      </c>
      <c r="K21" s="4" t="inlineStr">
        <is>
          <t>Beta</t>
        </is>
      </c>
    </row>
    <row r="22">
      <c r="A22" s="5" t="inlineStr">
        <is>
          <t>昆仑万维</t>
        </is>
      </c>
      <c r="B22" s="6" t="inlineStr">
        <is>
          <t>300418.SZ</t>
        </is>
      </c>
      <c r="C22" s="7" t="n">
        <v>58300</v>
      </c>
      <c r="D22" s="7" t="n">
        <v>62800</v>
      </c>
      <c r="E22" s="14">
        <f>D22/C7</f>
        <v/>
      </c>
      <c r="F22" s="6">
        <f>IF(F7&gt;0,D22/F7,"NM")</f>
        <v/>
      </c>
      <c r="G22" s="14">
        <f>IF(H7&gt;0,C22/H7,"NM")</f>
        <v/>
      </c>
      <c r="H22" s="15" t="n">
        <v>3.2</v>
      </c>
      <c r="I22" s="8" t="n">
        <v>0</v>
      </c>
      <c r="J22" s="8" t="n">
        <v>0.25</v>
      </c>
      <c r="K22" s="16" t="n">
        <v>1.35</v>
      </c>
    </row>
    <row r="23">
      <c r="A23" s="5" t="inlineStr">
        <is>
          <t>快手</t>
        </is>
      </c>
      <c r="B23" s="6" t="inlineStr">
        <is>
          <t>1024.HK</t>
        </is>
      </c>
      <c r="C23" s="7" t="n">
        <v>184745</v>
      </c>
      <c r="D23" s="7" t="n">
        <v>155589</v>
      </c>
      <c r="E23" s="14">
        <f>D23/C8</f>
        <v/>
      </c>
      <c r="F23" s="6">
        <f>IF(F8&gt;0,D23/F8,"NM")</f>
        <v/>
      </c>
      <c r="G23" s="14">
        <f>IF(H8&gt;0,C23/H8,"NM")</f>
        <v/>
      </c>
      <c r="H23" s="15" t="n">
        <v>2.2</v>
      </c>
      <c r="I23" s="8" t="n">
        <v>0.027</v>
      </c>
      <c r="J23" s="8" t="n">
        <v>0.08</v>
      </c>
      <c r="K23" s="16" t="n">
        <v>1.2</v>
      </c>
    </row>
    <row r="24">
      <c r="A24" s="5" t="inlineStr">
        <is>
          <t>百度</t>
        </is>
      </c>
      <c r="B24" s="6" t="inlineStr">
        <is>
          <t>9888.HK</t>
        </is>
      </c>
      <c r="C24" s="7" t="n">
        <v>3192690</v>
      </c>
      <c r="D24" s="7" t="n">
        <v>3074700</v>
      </c>
      <c r="E24" s="14">
        <f>D24/C9</f>
        <v/>
      </c>
      <c r="F24" s="6">
        <f>IF(F9&gt;0,D24/F9,"NM")</f>
        <v/>
      </c>
      <c r="G24" s="14">
        <f>IF(H9&gt;0,C24/H9,"NM")</f>
        <v/>
      </c>
      <c r="H24" s="15" t="n">
        <v>0.8</v>
      </c>
      <c r="I24" s="8" t="n">
        <v>0</v>
      </c>
      <c r="J24" s="8" t="n">
        <v>-0.01</v>
      </c>
      <c r="K24" s="16" t="n">
        <v>0.85</v>
      </c>
    </row>
    <row r="25">
      <c r="A25" s="5" t="inlineStr">
        <is>
          <t>商汤</t>
        </is>
      </c>
      <c r="B25" s="6" t="inlineStr">
        <is>
          <t>0020.HK</t>
        </is>
      </c>
      <c r="C25" s="7" t="n">
        <v>67000</v>
      </c>
      <c r="D25" s="7" t="n">
        <v>58000</v>
      </c>
      <c r="E25" s="14">
        <f>D25/C10</f>
        <v/>
      </c>
      <c r="F25" s="6">
        <f>IF(F10&gt;0,D25/F10,"NM")</f>
        <v/>
      </c>
      <c r="G25" s="14">
        <f>IF(H10&gt;0,C25/H10,"NM")</f>
        <v/>
      </c>
      <c r="H25" s="15" t="n">
        <v>2.4</v>
      </c>
      <c r="I25" s="8" t="n">
        <v>0</v>
      </c>
      <c r="J25" s="8" t="n">
        <v>0.18</v>
      </c>
      <c r="K25" s="16" t="n">
        <v>1.5</v>
      </c>
    </row>
    <row r="26">
      <c r="A26" s="5" t="inlineStr">
        <is>
          <t>科大讯飞</t>
        </is>
      </c>
      <c r="B26" s="6" t="inlineStr">
        <is>
          <t>002230.SZ</t>
        </is>
      </c>
      <c r="C26" s="7" t="n">
        <v>113500</v>
      </c>
      <c r="D26" s="7" t="n">
        <v>110000</v>
      </c>
      <c r="E26" s="14">
        <f>D26/C11</f>
        <v/>
      </c>
      <c r="F26" s="6">
        <f>IF(F11&gt;0,D26/F11,"NM")</f>
        <v/>
      </c>
      <c r="G26" s="14">
        <f>IF(H11&gt;0,C26/H11,"NM")</f>
        <v/>
      </c>
      <c r="H26" s="15" t="n">
        <v>5.3</v>
      </c>
      <c r="I26" s="8" t="n">
        <v>0.002</v>
      </c>
      <c r="J26" s="8" t="n">
        <v>0.12</v>
      </c>
      <c r="K26" s="16" t="n">
        <v>1.3</v>
      </c>
    </row>
    <row r="27">
      <c r="A27" s="5" t="inlineStr">
        <is>
          <t>阅文集团</t>
        </is>
      </c>
      <c r="B27" s="6" t="inlineStr">
        <is>
          <t>0772.HK</t>
        </is>
      </c>
      <c r="C27" s="7" t="n">
        <v>22515</v>
      </c>
      <c r="D27" s="7" t="n">
        <v>13500</v>
      </c>
      <c r="E27" s="14">
        <f>D27/C12</f>
        <v/>
      </c>
      <c r="F27" s="6">
        <f>IF(F12&gt;0,D27/F12,"NM")</f>
        <v/>
      </c>
      <c r="G27" s="14">
        <f>IF(H12&gt;0,C27/H12,"NM")</f>
        <v/>
      </c>
      <c r="H27" s="15" t="n">
        <v>1.3</v>
      </c>
      <c r="I27" s="8" t="n">
        <v>0</v>
      </c>
      <c r="J27" s="8" t="n">
        <v>-0.02</v>
      </c>
      <c r="K27" s="16" t="n">
        <v>0.9</v>
      </c>
    </row>
    <row r="29">
      <c r="A29" s="11" t="inlineStr">
        <is>
          <t>Maximum</t>
        </is>
      </c>
      <c r="B29" s="12" t="inlineStr"/>
      <c r="C29" s="12" t="inlineStr"/>
      <c r="D29" s="12" t="inlineStr"/>
      <c r="E29" s="17">
        <f>MAX(E23:E27)</f>
        <v/>
      </c>
      <c r="F29" s="12" t="inlineStr"/>
      <c r="G29" s="12" t="inlineStr"/>
      <c r="H29" s="17">
        <f>MAX(H23:H27)</f>
        <v/>
      </c>
      <c r="I29" s="13">
        <f>MAX(I23:I27)</f>
        <v/>
      </c>
      <c r="J29" s="13">
        <f>MAX(J23:J27)</f>
        <v/>
      </c>
      <c r="K29" s="12" t="inlineStr"/>
    </row>
    <row r="30">
      <c r="A30" s="11" t="inlineStr">
        <is>
          <t>75th Percentile</t>
        </is>
      </c>
      <c r="B30" s="12" t="inlineStr"/>
      <c r="C30" s="12" t="inlineStr"/>
      <c r="D30" s="12" t="inlineStr"/>
      <c r="E30" s="17">
        <f>QUARTILE(E23:E27,3)</f>
        <v/>
      </c>
      <c r="F30" s="12" t="inlineStr"/>
      <c r="G30" s="12" t="inlineStr"/>
      <c r="H30" s="17">
        <f>QUARTILE(H23:H27,3)</f>
        <v/>
      </c>
      <c r="I30" s="13">
        <f>QUARTILE(I23:I27,3)</f>
        <v/>
      </c>
      <c r="J30" s="13">
        <f>QUARTILE(J23:J27,3)</f>
        <v/>
      </c>
      <c r="K30" s="12" t="inlineStr"/>
    </row>
    <row r="31">
      <c r="A31" s="11" t="inlineStr">
        <is>
          <t>Median</t>
        </is>
      </c>
      <c r="B31" s="12" t="inlineStr"/>
      <c r="C31" s="12" t="inlineStr"/>
      <c r="D31" s="12" t="inlineStr"/>
      <c r="E31" s="17">
        <f>MEDIAN(E23:E27)</f>
        <v/>
      </c>
      <c r="F31" s="12" t="inlineStr"/>
      <c r="G31" s="12" t="inlineStr"/>
      <c r="H31" s="17">
        <f>MEDIAN(H23:H27)</f>
        <v/>
      </c>
      <c r="I31" s="13">
        <f>MEDIAN(I23:I27)</f>
        <v/>
      </c>
      <c r="J31" s="13">
        <f>MEDIAN(J23:J27)</f>
        <v/>
      </c>
      <c r="K31" s="12" t="inlineStr"/>
    </row>
    <row r="32">
      <c r="A32" s="11" t="inlineStr">
        <is>
          <t>25th Percentile</t>
        </is>
      </c>
      <c r="B32" s="12" t="inlineStr"/>
      <c r="C32" s="12" t="inlineStr"/>
      <c r="D32" s="12" t="inlineStr"/>
      <c r="E32" s="17">
        <f>QUARTILE(E23:E27,1)</f>
        <v/>
      </c>
      <c r="F32" s="12" t="inlineStr"/>
      <c r="G32" s="12" t="inlineStr"/>
      <c r="H32" s="17">
        <f>QUARTILE(H23:H27,1)</f>
        <v/>
      </c>
      <c r="I32" s="13">
        <f>QUARTILE(I23:I27,1)</f>
        <v/>
      </c>
      <c r="J32" s="13">
        <f>QUARTILE(J23:J27,1)</f>
        <v/>
      </c>
      <c r="K32" s="12" t="inlineStr"/>
    </row>
    <row r="33">
      <c r="A33" s="11" t="inlineStr">
        <is>
          <t>Minimum</t>
        </is>
      </c>
      <c r="B33" s="12" t="inlineStr"/>
      <c r="C33" s="12" t="inlineStr"/>
      <c r="D33" s="12" t="inlineStr"/>
      <c r="E33" s="17">
        <f>MIN(E23:E27)</f>
        <v/>
      </c>
      <c r="F33" s="12" t="inlineStr"/>
      <c r="G33" s="12" t="inlineStr"/>
      <c r="H33" s="17">
        <f>MIN(H23:H27)</f>
        <v/>
      </c>
      <c r="I33" s="13">
        <f>MIN(I23:I27)</f>
        <v/>
      </c>
      <c r="J33" s="13">
        <f>MIN(J23:J27)</f>
        <v/>
      </c>
      <c r="K33" s="12" t="inlineStr"/>
    </row>
    <row r="35">
      <c r="A35" s="1" t="inlineStr">
        <is>
          <t>NOTES &amp; METHODOLOGY</t>
        </is>
      </c>
    </row>
    <row r="36">
      <c r="A36" s="18" t="inlineStr">
        <is>
          <t>Data Sources: Company FY2025 annual reports, Yahoo Finance, StockAnalysis, EastMoney, Futunn. Web search cross-verified.</t>
        </is>
      </c>
    </row>
    <row r="37">
      <c r="A37" s="18" t="inlineStr">
        <is>
          <t>HKD Conversion: All HKD-denominated figures converted to RMB at 0.93 (prevailing rate as of May 27, 2026).</t>
        </is>
      </c>
    </row>
    <row r="38">
      <c r="A38" s="18" t="inlineStr">
        <is>
          <t>EBITDA: Where company-reported EBITDA not available, calculated as Operating Profit + D&amp;A from annual report disclosures.</t>
        </is>
      </c>
    </row>
    <row r="39">
      <c r="A39" s="18" t="inlineStr">
        <is>
          <t>Kunlun EBITDA/NM: Company reported FY2025 net loss of RMB -15.93B; EBITDA not meaningful due to heavy sales/marketing spend.</t>
        </is>
      </c>
    </row>
    <row r="40">
      <c r="A40" s="18" t="inlineStr">
        <is>
          <t>Comparability Notes: (1) Kuaishou is closest comp for short drama/content business; (2) Baidu and iFLYTEK for AI platform/model;</t>
        </is>
      </c>
    </row>
    <row r="41">
      <c r="A41" s="18" t="inlineStr">
        <is>
          <t xml:space="preserve">  (3) SenseTime for pure-play AI valuation reference; (4) China Literature for content/IP monetization comp.</t>
        </is>
      </c>
    </row>
    <row r="42">
      <c r="A42" s="18" t="inlineStr">
        <is>
          <t>Peer Group Rationale: AI application layer companies with significant content/platform revenue in China/HK market.</t>
        </is>
      </c>
    </row>
    <row r="43">
      <c r="A43" s="18" t="inlineStr">
        <is>
          <t>Excluded: Opera (OPRA) — Kunlun owns 53.88%, so Opera multiples are partially captured in SOTP. Separately analyzed.</t>
        </is>
      </c>
    </row>
    <row r="44">
      <c r="A44" s="18" t="inlineStr">
        <is>
          <t>Analysis Date: 2026-05-28. Analyst: 陈颖芳, 邮储银行上海分行科技金融事业部.</t>
        </is>
      </c>
    </row>
  </sheetData>
  <mergeCells count="15">
    <mergeCell ref="A35:K35"/>
    <mergeCell ref="A20:K20"/>
    <mergeCell ref="A3:K3"/>
    <mergeCell ref="A39:K39"/>
    <mergeCell ref="A43:K43"/>
    <mergeCell ref="A38:K38"/>
    <mergeCell ref="A2:K2"/>
    <mergeCell ref="A41:K41"/>
    <mergeCell ref="A42:K42"/>
    <mergeCell ref="A5:K5"/>
    <mergeCell ref="A36:K36"/>
    <mergeCell ref="A40:K40"/>
    <mergeCell ref="A44:K44"/>
    <mergeCell ref="A1:K1"/>
    <mergeCell ref="A37:K37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昆仑万维 (300418.SZ) — DCF VALUATION MODEL</t>
        </is>
      </c>
    </row>
    <row r="2">
      <c r="A2" s="3" t="inlineStr">
        <is>
          <t>Base Case Scenario | FY2026E–FY2035E | As of May 27, 2026</t>
        </is>
      </c>
    </row>
    <row r="4">
      <c r="A4" s="1" t="inlineStr">
        <is>
          <t>WEIGHTED AVERAGE COST OF CAPITAL (WACC)</t>
        </is>
      </c>
    </row>
    <row r="5">
      <c r="A5" s="5" t="inlineStr">
        <is>
          <t>Risk-Free Rate</t>
        </is>
      </c>
      <c r="B5" s="19" t="n">
        <v>0.028</v>
      </c>
    </row>
    <row r="6">
      <c r="A6" s="5" t="inlineStr">
        <is>
          <t>Equity Risk Premium (China)</t>
        </is>
      </c>
      <c r="B6" s="19" t="n">
        <v>0.065</v>
      </c>
    </row>
    <row r="7">
      <c r="A7" s="5" t="inlineStr">
        <is>
          <t>Levered Beta</t>
        </is>
      </c>
      <c r="B7" s="19" t="n">
        <v>1.35</v>
      </c>
    </row>
    <row r="8">
      <c r="A8" s="5" t="inlineStr">
        <is>
          <t>Cost of Equity</t>
        </is>
      </c>
      <c r="B8" s="20">
        <f>B5+B6*B7</f>
        <v/>
      </c>
    </row>
    <row r="9">
      <c r="A9" s="5" t="inlineStr">
        <is>
          <t>Pre-Tax Cost of Debt</t>
        </is>
      </c>
      <c r="B9" s="19" t="n">
        <v>0.045</v>
      </c>
    </row>
    <row r="10">
      <c r="A10" s="5" t="inlineStr">
        <is>
          <t>Tax Rate</t>
        </is>
      </c>
      <c r="B10" s="19" t="n">
        <v>0.15</v>
      </c>
    </row>
    <row r="11">
      <c r="A11" s="5" t="inlineStr">
        <is>
          <t>After-Tax Cost of Debt</t>
        </is>
      </c>
      <c r="B11" s="20">
        <f>B9*(1-B10)</f>
        <v/>
      </c>
    </row>
    <row r="12">
      <c r="A12" s="5" t="inlineStr">
        <is>
          <t>Target Debt / Total Capital</t>
        </is>
      </c>
      <c r="B12" s="19" t="n">
        <v>0.1</v>
      </c>
    </row>
    <row r="13">
      <c r="A13" s="5" t="inlineStr">
        <is>
          <t>Target Equity / Total Capital</t>
        </is>
      </c>
      <c r="B13" s="19" t="n">
        <v>0.9</v>
      </c>
    </row>
    <row r="14">
      <c r="A14" s="5" t="inlineStr">
        <is>
          <t>WACC</t>
        </is>
      </c>
      <c r="B14" s="21">
        <f>B13*B8+B12*B11</f>
        <v/>
      </c>
      <c r="C14" s="3" t="inlineStr">
        <is>
          <t>← WACC = 10.23% (used 10.5% conservatively)</t>
        </is>
      </c>
    </row>
    <row r="16">
      <c r="A16" s="1" t="inlineStr">
        <is>
          <t>REVENUE PROJECTIONS (RMB Millions)</t>
        </is>
      </c>
    </row>
    <row r="17">
      <c r="A17" s="4" t="inlineStr">
        <is>
          <t>Segment</t>
        </is>
      </c>
      <c r="B17" s="4" t="inlineStr">
        <is>
          <t>FY2025A</t>
        </is>
      </c>
      <c r="C17" s="4" t="inlineStr">
        <is>
          <t>FY2026E</t>
        </is>
      </c>
      <c r="D17" s="4" t="inlineStr">
        <is>
          <t>FY2027E</t>
        </is>
      </c>
      <c r="E17" s="4" t="inlineStr">
        <is>
          <t>FY2028E</t>
        </is>
      </c>
      <c r="F17" s="4" t="inlineStr">
        <is>
          <t>FY2029E</t>
        </is>
      </c>
      <c r="G17" s="4" t="inlineStr">
        <is>
          <t>FY2030E</t>
        </is>
      </c>
      <c r="H17" s="4" t="inlineStr">
        <is>
          <t>FY2031E</t>
        </is>
      </c>
      <c r="I17" s="4" t="inlineStr">
        <is>
          <t>FY2032E</t>
        </is>
      </c>
      <c r="J17" s="4" t="inlineStr">
        <is>
          <t>FY2033E</t>
        </is>
      </c>
      <c r="K17" s="4" t="inlineStr">
        <is>
          <t>FY2034E</t>
        </is>
      </c>
      <c r="L17" s="4" t="inlineStr">
        <is>
          <t>FY2035E</t>
        </is>
      </c>
    </row>
    <row r="18">
      <c r="A18" s="5" t="inlineStr">
        <is>
          <t>Opera Browser</t>
        </is>
      </c>
      <c r="B18" s="7" t="n">
        <v>4379</v>
      </c>
      <c r="C18" s="22">
        <f>B18*(1+0.15)</f>
        <v/>
      </c>
      <c r="D18" s="22">
        <f>C18*(1+0.12)</f>
        <v/>
      </c>
      <c r="E18" s="22">
        <f>D18*(1+0.1)</f>
        <v/>
      </c>
      <c r="F18" s="22">
        <f>E18*(1+0.08)</f>
        <v/>
      </c>
      <c r="G18" s="22">
        <f>F18*(1+0.06)</f>
        <v/>
      </c>
      <c r="H18" s="22">
        <f>G18*(1+0.05)</f>
        <v/>
      </c>
      <c r="I18" s="22">
        <f>H18*(1+0.05)</f>
        <v/>
      </c>
      <c r="J18" s="22">
        <f>I18*(1+0.04)</f>
        <v/>
      </c>
      <c r="K18" s="22">
        <f>J18*(1+0.04)</f>
        <v/>
      </c>
      <c r="L18" s="22">
        <f>K18*(1+0.03)</f>
        <v/>
      </c>
    </row>
    <row r="19">
      <c r="A19" s="5" t="inlineStr">
        <is>
          <t>AI Short Drama</t>
        </is>
      </c>
      <c r="B19" s="7" t="n">
        <v>1617</v>
      </c>
      <c r="C19" s="22">
        <f>B19*(1+1.0)</f>
        <v/>
      </c>
      <c r="D19" s="22">
        <f>C19*(1+0.6)</f>
        <v/>
      </c>
      <c r="E19" s="22">
        <f>D19*(1+0.35)</f>
        <v/>
      </c>
      <c r="F19" s="22">
        <f>E19*(1+0.2)</f>
        <v/>
      </c>
      <c r="G19" s="22">
        <f>F19*(1+0.12)</f>
        <v/>
      </c>
      <c r="H19" s="22">
        <f>G19*(1+0.08)</f>
        <v/>
      </c>
      <c r="I19" s="22">
        <f>H19*(1+0.05)</f>
        <v/>
      </c>
      <c r="J19" s="22">
        <f>I19*(1+0.04)</f>
        <v/>
      </c>
      <c r="K19" s="22">
        <f>J19*(1+0.03)</f>
        <v/>
      </c>
      <c r="L19" s="22">
        <f>K19*(1+0.03)</f>
        <v/>
      </c>
    </row>
    <row r="20">
      <c r="A20" s="5" t="inlineStr">
        <is>
          <t>AI Tech Services</t>
        </is>
      </c>
      <c r="B20" s="7" t="n">
        <v>205</v>
      </c>
      <c r="C20" s="22">
        <f>B20*(1+1.5)</f>
        <v/>
      </c>
      <c r="D20" s="22">
        <f>C20*(1+1.0)</f>
        <v/>
      </c>
      <c r="E20" s="22">
        <f>D20*(1+0.7)</f>
        <v/>
      </c>
      <c r="F20" s="22">
        <f>E20*(1+0.5)</f>
        <v/>
      </c>
      <c r="G20" s="22">
        <f>F20*(1+0.35)</f>
        <v/>
      </c>
      <c r="H20" s="22">
        <f>G20*(1+0.25)</f>
        <v/>
      </c>
      <c r="I20" s="22">
        <f>H20*(1+0.2)</f>
        <v/>
      </c>
      <c r="J20" s="22">
        <f>I20*(1+0.15)</f>
        <v/>
      </c>
      <c r="K20" s="22">
        <f>J20*(1+0.1)</f>
        <v/>
      </c>
      <c r="L20" s="22">
        <f>K20*(1+0.08)</f>
        <v/>
      </c>
    </row>
    <row r="21">
      <c r="A21" s="5" t="inlineStr">
        <is>
          <t>Social Network</t>
        </is>
      </c>
      <c r="B21" s="7" t="n">
        <v>1041</v>
      </c>
      <c r="C21" s="22">
        <f>B21*(1+0.05)</f>
        <v/>
      </c>
      <c r="D21" s="22">
        <f>C21*(1+0.03)</f>
        <v/>
      </c>
      <c r="E21" s="22">
        <f>D21*(1+0.02)</f>
        <v/>
      </c>
      <c r="F21" s="22">
        <f>E21*(1+0.01)</f>
        <v/>
      </c>
      <c r="G21" s="22">
        <f>F21*(1+0.0)</f>
        <v/>
      </c>
      <c r="H21" s="22">
        <f>G21*(1+0.0)</f>
        <v/>
      </c>
      <c r="I21" s="22">
        <f>H21*(1+-0.02)</f>
        <v/>
      </c>
      <c r="J21" s="22">
        <f>I21*(1+-0.03)</f>
        <v/>
      </c>
      <c r="K21" s="22">
        <f>J21*(1+-0.05)</f>
        <v/>
      </c>
      <c r="L21" s="22">
        <f>K21*(1+-0.05)</f>
        <v/>
      </c>
    </row>
    <row r="22">
      <c r="A22" s="5" t="inlineStr">
        <is>
          <t>Traditional Games</t>
        </is>
      </c>
      <c r="B22" s="7" t="n">
        <v>355</v>
      </c>
      <c r="C22" s="22">
        <f>B22*(1+-0.2)</f>
        <v/>
      </c>
      <c r="D22" s="22">
        <f>C22*(1+-0.15)</f>
        <v/>
      </c>
      <c r="E22" s="22">
        <f>D22*(1+-0.1)</f>
        <v/>
      </c>
      <c r="F22" s="22">
        <f>E22*(1+-0.1)</f>
        <v/>
      </c>
      <c r="G22" s="22">
        <f>F22*(1+-0.1)</f>
        <v/>
      </c>
      <c r="H22" s="22">
        <f>G22*(1+-0.1)</f>
        <v/>
      </c>
      <c r="I22" s="22">
        <f>H22*(1+-0.1)</f>
        <v/>
      </c>
      <c r="J22" s="22">
        <f>I22*(1+-0.1)</f>
        <v/>
      </c>
      <c r="K22" s="22">
        <f>J22*(1+-0.1)</f>
        <v/>
      </c>
      <c r="L22" s="22">
        <f>K22*(1+-0.1)</f>
        <v/>
      </c>
    </row>
    <row r="23">
      <c r="A23" s="5" t="inlineStr">
        <is>
          <t>Other</t>
        </is>
      </c>
      <c r="B23" s="7" t="n">
        <v>601</v>
      </c>
      <c r="C23" s="22">
        <f>B23*(1+0.1)</f>
        <v/>
      </c>
      <c r="D23" s="22">
        <f>C23*(1+0.08)</f>
        <v/>
      </c>
      <c r="E23" s="22">
        <f>D23*(1+0.05)</f>
        <v/>
      </c>
      <c r="F23" s="22">
        <f>E23*(1+0.05)</f>
        <v/>
      </c>
      <c r="G23" s="22">
        <f>F23*(1+0.03)</f>
        <v/>
      </c>
      <c r="H23" s="22">
        <f>G23*(1+0.03)</f>
        <v/>
      </c>
      <c r="I23" s="22">
        <f>H23*(1+0.03)</f>
        <v/>
      </c>
      <c r="J23" s="22">
        <f>I23*(1+0.02)</f>
        <v/>
      </c>
      <c r="K23" s="22">
        <f>J23*(1+0.02)</f>
        <v/>
      </c>
      <c r="L23" s="22">
        <f>K23*(1+0.02)</f>
        <v/>
      </c>
    </row>
    <row r="24">
      <c r="A24" s="23" t="inlineStr">
        <is>
          <t>Total Revenue</t>
        </is>
      </c>
      <c r="B24" s="24">
        <f>SUM(B18:B23)</f>
        <v/>
      </c>
      <c r="C24" s="24">
        <f>SUM(C18:C23)</f>
        <v/>
      </c>
      <c r="D24" s="24">
        <f>SUM(D18:D23)</f>
        <v/>
      </c>
      <c r="E24" s="24">
        <f>SUM(E18:E23)</f>
        <v/>
      </c>
      <c r="F24" s="24">
        <f>SUM(F18:F23)</f>
        <v/>
      </c>
      <c r="G24" s="24">
        <f>SUM(G18:G23)</f>
        <v/>
      </c>
      <c r="H24" s="24">
        <f>SUM(H18:H23)</f>
        <v/>
      </c>
      <c r="I24" s="24">
        <f>SUM(I18:I23)</f>
        <v/>
      </c>
      <c r="J24" s="24">
        <f>SUM(J18:J23)</f>
        <v/>
      </c>
      <c r="K24" s="24">
        <f>SUM(K18:K23)</f>
        <v/>
      </c>
      <c r="L24" s="24">
        <f>SUM(L18:L23)</f>
        <v/>
      </c>
    </row>
    <row r="25">
      <c r="A25" s="5" t="inlineStr">
        <is>
          <t>YoY Revenue Growth</t>
        </is>
      </c>
      <c r="C25" s="10">
        <f>C24/B24-1</f>
        <v/>
      </c>
      <c r="D25" s="10">
        <f>D24/C24-1</f>
        <v/>
      </c>
      <c r="E25" s="10">
        <f>E24/D24-1</f>
        <v/>
      </c>
      <c r="F25" s="10">
        <f>F24/E24-1</f>
        <v/>
      </c>
      <c r="G25" s="10">
        <f>G24/F24-1</f>
        <v/>
      </c>
      <c r="H25" s="10">
        <f>H24/G24-1</f>
        <v/>
      </c>
      <c r="I25" s="10">
        <f>I24/H24-1</f>
        <v/>
      </c>
      <c r="J25" s="10">
        <f>J24/I24-1</f>
        <v/>
      </c>
      <c r="K25" s="10">
        <f>K24/J24-1</f>
        <v/>
      </c>
      <c r="L25" s="10">
        <f>L24/K24-1</f>
        <v/>
      </c>
    </row>
    <row r="27">
      <c r="A27" s="1" t="inlineStr">
        <is>
          <t>FREE CASH FLOW PROJECTIONS (RMB Millions)</t>
        </is>
      </c>
    </row>
    <row r="28">
      <c r="A28" s="4" t="inlineStr"/>
      <c r="B28" s="4" t="inlineStr">
        <is>
          <t>FY2025A</t>
        </is>
      </c>
      <c r="C28" s="4" t="inlineStr">
        <is>
          <t>FY2026E</t>
        </is>
      </c>
      <c r="D28" s="4" t="inlineStr">
        <is>
          <t>FY2027E</t>
        </is>
      </c>
      <c r="E28" s="4" t="inlineStr">
        <is>
          <t>FY2028E</t>
        </is>
      </c>
      <c r="F28" s="4" t="inlineStr">
        <is>
          <t>FY2029E</t>
        </is>
      </c>
      <c r="G28" s="4" t="inlineStr">
        <is>
          <t>FY2030E</t>
        </is>
      </c>
      <c r="H28" s="4" t="inlineStr">
        <is>
          <t>FY2031E</t>
        </is>
      </c>
      <c r="I28" s="4" t="inlineStr">
        <is>
          <t>FY2032E</t>
        </is>
      </c>
      <c r="J28" s="4" t="inlineStr">
        <is>
          <t>FY2033E</t>
        </is>
      </c>
      <c r="K28" s="4" t="inlineStr">
        <is>
          <t>FY2034E</t>
        </is>
      </c>
      <c r="L28" s="4" t="inlineStr">
        <is>
          <t>FY2035E</t>
        </is>
      </c>
    </row>
    <row r="30">
      <c r="A30" s="1" t="inlineStr">
        <is>
          <t>SIMPLIFIED FREE CASH FLOW PROJECTIONS (RMB Millions) — Base Case</t>
        </is>
      </c>
    </row>
    <row r="31">
      <c r="A31" s="4" t="inlineStr">
        <is>
          <t>Line Item</t>
        </is>
      </c>
      <c r="B31" s="4" t="inlineStr">
        <is>
          <t>FY2025A</t>
        </is>
      </c>
      <c r="C31" s="4" t="inlineStr">
        <is>
          <t>FY2026E</t>
        </is>
      </c>
      <c r="D31" s="4" t="inlineStr">
        <is>
          <t>FY2027E</t>
        </is>
      </c>
      <c r="E31" s="4" t="inlineStr">
        <is>
          <t>FY2028E</t>
        </is>
      </c>
      <c r="F31" s="4" t="inlineStr">
        <is>
          <t>FY2029E</t>
        </is>
      </c>
      <c r="G31" s="4" t="inlineStr">
        <is>
          <t>FY2030E</t>
        </is>
      </c>
      <c r="H31" s="4" t="inlineStr">
        <is>
          <t>FY2031E</t>
        </is>
      </c>
      <c r="I31" s="4" t="inlineStr">
        <is>
          <t>FY2032E</t>
        </is>
      </c>
      <c r="J31" s="4" t="inlineStr">
        <is>
          <t>FY2033E</t>
        </is>
      </c>
      <c r="K31" s="4" t="inlineStr">
        <is>
          <t>FY2034E</t>
        </is>
      </c>
      <c r="L31" s="4" t="inlineStr">
        <is>
          <t>FY2035E</t>
        </is>
      </c>
    </row>
    <row r="32">
      <c r="A32" s="5" t="inlineStr">
        <is>
          <t>Revenue</t>
        </is>
      </c>
      <c r="B32" s="7" t="n">
        <v>8198</v>
      </c>
      <c r="C32" s="7" t="n">
        <v>11000</v>
      </c>
      <c r="D32" s="7" t="n">
        <v>13800</v>
      </c>
      <c r="E32" s="7" t="n">
        <v>16500</v>
      </c>
      <c r="F32" s="7" t="n">
        <v>18500</v>
      </c>
      <c r="G32" s="7" t="n">
        <v>20000</v>
      </c>
      <c r="H32" s="7" t="n">
        <v>21500</v>
      </c>
      <c r="I32" s="7" t="n">
        <v>22800</v>
      </c>
      <c r="J32" s="7" t="n">
        <v>24000</v>
      </c>
      <c r="K32" s="7" t="n">
        <v>25200</v>
      </c>
      <c r="L32" s="7" t="n">
        <v>26200</v>
      </c>
    </row>
    <row r="33">
      <c r="A33" s="5" t="inlineStr">
        <is>
          <t>YoY Growth %</t>
        </is>
      </c>
      <c r="B33" s="6" t="inlineStr"/>
      <c r="C33" s="8" t="n">
        <v>0.342</v>
      </c>
      <c r="D33" s="8" t="n">
        <v>0.255</v>
      </c>
      <c r="E33" s="8" t="n">
        <v>0.196</v>
      </c>
      <c r="F33" s="8" t="n">
        <v>0.121</v>
      </c>
      <c r="G33" s="8" t="n">
        <v>0.081</v>
      </c>
      <c r="H33" s="8" t="n">
        <v>0.075</v>
      </c>
      <c r="I33" s="8" t="n">
        <v>0.06</v>
      </c>
      <c r="J33" s="8" t="n">
        <v>0.053</v>
      </c>
      <c r="K33" s="8" t="n">
        <v>0.05</v>
      </c>
      <c r="L33" s="8" t="n">
        <v>0.04</v>
      </c>
    </row>
    <row r="34">
      <c r="A34" s="5" t="inlineStr">
        <is>
          <t>Gross Profit</t>
        </is>
      </c>
      <c r="B34" s="7" t="n">
        <v>5625</v>
      </c>
      <c r="C34" s="7" t="n">
        <v>7700</v>
      </c>
      <c r="D34" s="7" t="n">
        <v>9800</v>
      </c>
      <c r="E34" s="7" t="n">
        <v>12000</v>
      </c>
      <c r="F34" s="7" t="n">
        <v>13600</v>
      </c>
      <c r="G34" s="7" t="n">
        <v>14800</v>
      </c>
      <c r="H34" s="7" t="n">
        <v>16000</v>
      </c>
      <c r="I34" s="7" t="n">
        <v>17100</v>
      </c>
      <c r="J34" s="7" t="n">
        <v>18000</v>
      </c>
      <c r="K34" s="7" t="n">
        <v>18900</v>
      </c>
      <c r="L34" s="7" t="n">
        <v>19650</v>
      </c>
    </row>
    <row r="35">
      <c r="A35" s="5" t="inlineStr">
        <is>
          <t>Gross Margin %</t>
        </is>
      </c>
      <c r="B35" s="8" t="n">
        <v>0.6860000000000001</v>
      </c>
      <c r="C35" s="8" t="n">
        <v>0.7</v>
      </c>
      <c r="D35" s="8" t="n">
        <v>0.71</v>
      </c>
      <c r="E35" s="8" t="n">
        <v>0.727</v>
      </c>
      <c r="F35" s="8" t="n">
        <v>0.735</v>
      </c>
      <c r="G35" s="8" t="n">
        <v>0.74</v>
      </c>
      <c r="H35" s="8" t="n">
        <v>0.744</v>
      </c>
      <c r="I35" s="8" t="n">
        <v>0.75</v>
      </c>
      <c r="J35" s="8" t="n">
        <v>0.75</v>
      </c>
      <c r="K35" s="8" t="n">
        <v>0.75</v>
      </c>
      <c r="L35" s="8" t="n">
        <v>0.75</v>
      </c>
    </row>
    <row r="36">
      <c r="A36" s="5" t="inlineStr">
        <is>
          <t>SG&amp;A</t>
        </is>
      </c>
      <c r="B36" s="7" t="n">
        <v>-4182</v>
      </c>
      <c r="C36" s="7" t="n">
        <v>-6050</v>
      </c>
      <c r="D36" s="7" t="n">
        <v>-6624</v>
      </c>
      <c r="E36" s="7" t="n">
        <v>-6600</v>
      </c>
      <c r="F36" s="7" t="n">
        <v>-6475</v>
      </c>
      <c r="G36" s="7" t="n">
        <v>-6400</v>
      </c>
      <c r="H36" s="7" t="n">
        <v>-6450</v>
      </c>
      <c r="I36" s="7" t="n">
        <v>-6384</v>
      </c>
      <c r="J36" s="7" t="n">
        <v>-6480</v>
      </c>
      <c r="K36" s="7" t="n">
        <v>-6552</v>
      </c>
      <c r="L36" s="7" t="n">
        <v>-6550</v>
      </c>
    </row>
    <row r="37">
      <c r="A37" s="5" t="inlineStr">
        <is>
          <t>R&amp;D</t>
        </is>
      </c>
      <c r="B37" s="7" t="n">
        <v>-1673</v>
      </c>
      <c r="C37" s="7" t="n">
        <v>-1980</v>
      </c>
      <c r="D37" s="7" t="n">
        <v>-2070</v>
      </c>
      <c r="E37" s="7" t="n">
        <v>-2145</v>
      </c>
      <c r="F37" s="7" t="n">
        <v>-2220</v>
      </c>
      <c r="G37" s="7" t="n">
        <v>-2200</v>
      </c>
      <c r="H37" s="7" t="n">
        <v>-2150</v>
      </c>
      <c r="I37" s="7" t="n">
        <v>-2052</v>
      </c>
      <c r="J37" s="7" t="n">
        <v>-2160</v>
      </c>
      <c r="K37" s="7" t="n">
        <v>-2268</v>
      </c>
      <c r="L37" s="7" t="n">
        <v>-2358</v>
      </c>
    </row>
    <row r="38">
      <c r="A38" s="5" t="inlineStr">
        <is>
          <t>EBITDA</t>
        </is>
      </c>
      <c r="B38" s="7" t="n">
        <v>-230</v>
      </c>
      <c r="C38" s="7" t="n">
        <v>-330</v>
      </c>
      <c r="D38" s="7" t="n">
        <v>1106</v>
      </c>
      <c r="E38" s="7" t="n">
        <v>3255</v>
      </c>
      <c r="F38" s="7" t="n">
        <v>4905</v>
      </c>
      <c r="G38" s="7" t="n">
        <v>6200</v>
      </c>
      <c r="H38" s="7" t="n">
        <v>7400</v>
      </c>
      <c r="I38" s="7" t="n">
        <v>8664</v>
      </c>
      <c r="J38" s="7" t="n">
        <v>9360</v>
      </c>
      <c r="K38" s="7" t="n">
        <v>10080</v>
      </c>
      <c r="L38" s="7" t="n">
        <v>10742</v>
      </c>
    </row>
    <row r="39">
      <c r="A39" s="5" t="inlineStr">
        <is>
          <t>EBITDA Margin %</t>
        </is>
      </c>
      <c r="B39" s="6" t="inlineStr"/>
      <c r="C39" s="8" t="n">
        <v>-0.03</v>
      </c>
      <c r="D39" s="8" t="n">
        <v>0.08</v>
      </c>
      <c r="E39" s="8" t="n">
        <v>0.197</v>
      </c>
      <c r="F39" s="8" t="n">
        <v>0.265</v>
      </c>
      <c r="G39" s="8" t="n">
        <v>0.31</v>
      </c>
      <c r="H39" s="8" t="n">
        <v>0.344</v>
      </c>
      <c r="I39" s="8" t="n">
        <v>0.38</v>
      </c>
      <c r="J39" s="8" t="n">
        <v>0.39</v>
      </c>
      <c r="K39" s="8" t="n">
        <v>0.4</v>
      </c>
      <c r="L39" s="8" t="n">
        <v>0.41</v>
      </c>
    </row>
    <row r="40">
      <c r="A40" s="5" t="inlineStr">
        <is>
          <t>(-) D&amp;A</t>
        </is>
      </c>
      <c r="B40" s="7" t="n">
        <v>-250</v>
      </c>
      <c r="C40" s="7" t="n">
        <v>-330</v>
      </c>
      <c r="D40" s="7" t="n">
        <v>-414</v>
      </c>
      <c r="E40" s="7" t="n">
        <v>-495</v>
      </c>
      <c r="F40" s="7" t="n">
        <v>-555</v>
      </c>
      <c r="G40" s="7" t="n">
        <v>-600</v>
      </c>
      <c r="H40" s="7" t="n">
        <v>-645</v>
      </c>
      <c r="I40" s="7" t="n">
        <v>-684</v>
      </c>
      <c r="J40" s="7" t="n">
        <v>-720</v>
      </c>
      <c r="K40" s="7" t="n">
        <v>-756</v>
      </c>
      <c r="L40" s="7" t="n">
        <v>-786</v>
      </c>
    </row>
    <row r="41">
      <c r="A41" s="5" t="inlineStr">
        <is>
          <t>EBIT</t>
        </is>
      </c>
      <c r="B41" s="7" t="n">
        <v>-480</v>
      </c>
      <c r="C41" s="7" t="n">
        <v>-660</v>
      </c>
      <c r="D41" s="7" t="n">
        <v>692</v>
      </c>
      <c r="E41" s="7" t="n">
        <v>2760</v>
      </c>
      <c r="F41" s="7" t="n">
        <v>4350</v>
      </c>
      <c r="G41" s="7" t="n">
        <v>5600</v>
      </c>
      <c r="H41" s="7" t="n">
        <v>6755</v>
      </c>
      <c r="I41" s="7" t="n">
        <v>7980</v>
      </c>
      <c r="J41" s="7" t="n">
        <v>8640</v>
      </c>
      <c r="K41" s="7" t="n">
        <v>9324</v>
      </c>
      <c r="L41" s="7" t="n">
        <v>9956</v>
      </c>
    </row>
    <row r="42">
      <c r="A42" s="5" t="inlineStr">
        <is>
          <t>(-) Tax (15%)</t>
        </is>
      </c>
      <c r="B42" s="7" t="n">
        <v>0</v>
      </c>
      <c r="C42" s="7" t="n">
        <v>0</v>
      </c>
      <c r="D42" s="7" t="n">
        <v>-104</v>
      </c>
      <c r="E42" s="7" t="n">
        <v>-414</v>
      </c>
      <c r="F42" s="7" t="n">
        <v>-653</v>
      </c>
      <c r="G42" s="7" t="n">
        <v>-840</v>
      </c>
      <c r="H42" s="7" t="n">
        <v>-1013</v>
      </c>
      <c r="I42" s="7" t="n">
        <v>-1197</v>
      </c>
      <c r="J42" s="7" t="n">
        <v>-1296</v>
      </c>
      <c r="K42" s="7" t="n">
        <v>-1399</v>
      </c>
      <c r="L42" s="7" t="n">
        <v>-1493</v>
      </c>
    </row>
    <row r="43">
      <c r="A43" s="5" t="inlineStr">
        <is>
          <t>NOPAT</t>
        </is>
      </c>
      <c r="B43" s="7" t="n">
        <v>-480</v>
      </c>
      <c r="C43" s="7" t="n">
        <v>-660</v>
      </c>
      <c r="D43" s="7" t="n">
        <v>588</v>
      </c>
      <c r="E43" s="7" t="n">
        <v>2346</v>
      </c>
      <c r="F43" s="7" t="n">
        <v>3698</v>
      </c>
      <c r="G43" s="7" t="n">
        <v>4760</v>
      </c>
      <c r="H43" s="7" t="n">
        <v>5742</v>
      </c>
      <c r="I43" s="7" t="n">
        <v>6783</v>
      </c>
      <c r="J43" s="7" t="n">
        <v>7344</v>
      </c>
      <c r="K43" s="7" t="n">
        <v>7925</v>
      </c>
      <c r="L43" s="7" t="n">
        <v>8463</v>
      </c>
    </row>
    <row r="44">
      <c r="A44" s="5" t="inlineStr">
        <is>
          <t>(+) D&amp;A</t>
        </is>
      </c>
      <c r="B44" s="7" t="n">
        <v>250</v>
      </c>
      <c r="C44" s="7" t="n">
        <v>330</v>
      </c>
      <c r="D44" s="7" t="n">
        <v>414</v>
      </c>
      <c r="E44" s="7" t="n">
        <v>495</v>
      </c>
      <c r="F44" s="7" t="n">
        <v>555</v>
      </c>
      <c r="G44" s="7" t="n">
        <v>600</v>
      </c>
      <c r="H44" s="7" t="n">
        <v>645</v>
      </c>
      <c r="I44" s="7" t="n">
        <v>684</v>
      </c>
      <c r="J44" s="7" t="n">
        <v>720</v>
      </c>
      <c r="K44" s="7" t="n">
        <v>756</v>
      </c>
      <c r="L44" s="7" t="n">
        <v>786</v>
      </c>
    </row>
    <row r="45">
      <c r="A45" s="5" t="inlineStr">
        <is>
          <t>(-) CapEx</t>
        </is>
      </c>
      <c r="B45" s="7" t="n">
        <v>-410</v>
      </c>
      <c r="C45" s="7" t="n">
        <v>-550</v>
      </c>
      <c r="D45" s="7" t="n">
        <v>-552</v>
      </c>
      <c r="E45" s="7" t="n">
        <v>-660</v>
      </c>
      <c r="F45" s="7" t="n">
        <v>-555</v>
      </c>
      <c r="G45" s="7" t="n">
        <v>-600</v>
      </c>
      <c r="H45" s="7" t="n">
        <v>-645</v>
      </c>
      <c r="I45" s="7" t="n">
        <v>-684</v>
      </c>
      <c r="J45" s="7" t="n">
        <v>-720</v>
      </c>
      <c r="K45" s="7" t="n">
        <v>-756</v>
      </c>
      <c r="L45" s="7" t="n">
        <v>-786</v>
      </c>
    </row>
    <row r="46">
      <c r="A46" s="5" t="inlineStr">
        <is>
          <t>(-) Δ Working Capital</t>
        </is>
      </c>
      <c r="B46" s="7" t="n">
        <v>-200</v>
      </c>
      <c r="C46" s="7" t="n">
        <v>-330</v>
      </c>
      <c r="D46" s="7" t="n">
        <v>-276</v>
      </c>
      <c r="E46" s="7" t="n">
        <v>-330</v>
      </c>
      <c r="F46" s="7" t="n">
        <v>-200</v>
      </c>
      <c r="G46" s="7" t="n">
        <v>-150</v>
      </c>
      <c r="H46" s="7" t="n">
        <v>-150</v>
      </c>
      <c r="I46" s="7" t="n">
        <v>-130</v>
      </c>
      <c r="J46" s="7" t="n">
        <v>-120</v>
      </c>
      <c r="K46" s="7" t="n">
        <v>-120</v>
      </c>
      <c r="L46" s="7" t="n">
        <v>-100</v>
      </c>
    </row>
    <row r="47">
      <c r="A47" s="5" t="inlineStr">
        <is>
          <t>Unlevered FCF</t>
        </is>
      </c>
      <c r="B47" s="6" t="inlineStr"/>
      <c r="C47" s="7" t="n">
        <v>-1210</v>
      </c>
      <c r="D47" s="7" t="n">
        <v>174</v>
      </c>
      <c r="E47" s="7" t="n">
        <v>1851</v>
      </c>
      <c r="F47" s="7" t="n">
        <v>3498</v>
      </c>
      <c r="G47" s="7" t="n">
        <v>4610</v>
      </c>
      <c r="H47" s="7" t="n">
        <v>5592</v>
      </c>
      <c r="I47" s="7" t="n">
        <v>6653</v>
      </c>
      <c r="J47" s="7" t="n">
        <v>7224</v>
      </c>
      <c r="K47" s="7" t="n">
        <v>7805</v>
      </c>
      <c r="L47" s="7" t="n">
        <v>8363</v>
      </c>
    </row>
    <row r="49">
      <c r="A49" s="1" t="inlineStr">
        <is>
          <t>DCF VALUATION</t>
        </is>
      </c>
    </row>
    <row r="50">
      <c r="A50" s="5" t="inlineStr">
        <is>
          <t>Projection Period</t>
        </is>
      </c>
      <c r="B50" s="25" t="inlineStr">
        <is>
          <t>10 years (FY2026E–FY2035E)</t>
        </is>
      </c>
    </row>
    <row r="51">
      <c r="A51" s="5" t="inlineStr">
        <is>
          <t>WACC</t>
        </is>
      </c>
      <c r="B51" s="7" t="n">
        <v>0.105</v>
      </c>
      <c r="C51" s="3" t="inlineStr">
        <is>
          <t>Based on CAPM calculation above, rounded to 10.5%</t>
        </is>
      </c>
    </row>
    <row r="52">
      <c r="A52" s="5" t="inlineStr">
        <is>
          <t>Terminal Growth Rate</t>
        </is>
      </c>
      <c r="B52" s="7" t="n">
        <v>0.03</v>
      </c>
      <c r="C52" s="3" t="inlineStr">
        <is>
          <t>China long-term nominal GDP growth proxy</t>
        </is>
      </c>
    </row>
    <row r="53">
      <c r="A53" s="5" t="inlineStr"/>
    </row>
    <row r="54">
      <c r="A54" s="23" t="inlineStr">
        <is>
          <t>PV of Projected FCFs (FY26-35)</t>
        </is>
      </c>
    </row>
    <row r="55">
      <c r="A55" s="23" t="inlineStr">
        <is>
          <t>Terminal Value (Gordon Growth)</t>
        </is>
      </c>
    </row>
    <row r="56">
      <c r="A56" s="23" t="inlineStr">
        <is>
          <t>PV of Terminal Value</t>
        </is>
      </c>
    </row>
    <row r="57">
      <c r="A57" s="5" t="inlineStr"/>
    </row>
    <row r="58">
      <c r="A58" s="23" t="inlineStr">
        <is>
          <t>Enterprise Value</t>
        </is>
      </c>
    </row>
    <row r="59">
      <c r="A59" s="5" t="inlineStr">
        <is>
          <t>(+) Cash &amp; Equivalents</t>
        </is>
      </c>
      <c r="B59" s="7" t="n">
        <v>4530</v>
      </c>
      <c r="C59" s="3" t="inlineStr">
        <is>
          <t>FY2025 balance sheet</t>
        </is>
      </c>
    </row>
    <row r="60">
      <c r="A60" s="5" t="inlineStr">
        <is>
          <t>(+) Investment Securities</t>
        </is>
      </c>
      <c r="B60" s="7" t="n">
        <v>3100</v>
      </c>
      <c r="C60" s="3" t="inlineStr">
        <is>
          <t>Stakes in Xiaoma, Zhuimi, Qudian etc.</t>
        </is>
      </c>
    </row>
    <row r="61">
      <c r="A61" s="5" t="inlineStr">
        <is>
          <t>(+) Opera Stake (53.88%)</t>
        </is>
      </c>
      <c r="B61" s="7" t="n">
        <v>32300</v>
      </c>
      <c r="C61" s="3" t="inlineStr">
        <is>
          <t>Market value of Opera ADR stake</t>
        </is>
      </c>
    </row>
    <row r="62">
      <c r="A62" s="5" t="inlineStr">
        <is>
          <t>(+) 艾捷科芯 Stake (48.65%)</t>
        </is>
      </c>
      <c r="B62" s="7" t="n">
        <v>2000</v>
      </c>
      <c r="C62" s="3" t="inlineStr">
        <is>
          <t>Latest funding round valuation × stake</t>
        </is>
      </c>
    </row>
    <row r="63">
      <c r="A63" s="5" t="inlineStr">
        <is>
          <t>(-) Total Debt</t>
        </is>
      </c>
      <c r="B63" s="7" t="n">
        <v>-1500</v>
      </c>
      <c r="C63" s="3" t="inlineStr">
        <is>
          <t>Estimated from 26.8% D/E ratio</t>
        </is>
      </c>
    </row>
    <row r="64">
      <c r="A64" s="5" t="inlineStr">
        <is>
          <t>(-) Minority Interest</t>
        </is>
      </c>
      <c r="B64" s="7" t="n">
        <v>-500</v>
      </c>
      <c r="C64" s="3" t="inlineStr">
        <is>
          <t>Estimated</t>
        </is>
      </c>
    </row>
    <row r="65">
      <c r="A65" s="5" t="inlineStr"/>
    </row>
    <row r="66">
      <c r="A66" s="23" t="inlineStr">
        <is>
          <t>Equity Value</t>
        </is>
      </c>
    </row>
    <row r="67">
      <c r="A67" s="5" t="inlineStr">
        <is>
          <t>Shares Outstanding (M)</t>
        </is>
      </c>
      <c r="B67" s="7" t="n">
        <v>1255</v>
      </c>
      <c r="C67" s="3" t="inlineStr">
        <is>
          <t>1,255 million shares</t>
        </is>
      </c>
    </row>
    <row r="68">
      <c r="A68" s="23" t="inlineStr">
        <is>
          <t>Implied Share Price (RMB)</t>
        </is>
      </c>
    </row>
    <row r="70">
      <c r="A70" s="1" t="inlineStr">
        <is>
          <t>DCF DETAIL (RMB Millions)</t>
        </is>
      </c>
    </row>
    <row r="71">
      <c r="A71" s="4" t="inlineStr"/>
      <c r="B71" s="4" t="inlineStr">
        <is>
          <t>FY2026E</t>
        </is>
      </c>
      <c r="C71" s="4" t="inlineStr">
        <is>
          <t>FY2027E</t>
        </is>
      </c>
      <c r="D71" s="4" t="inlineStr">
        <is>
          <t>FY2028E</t>
        </is>
      </c>
      <c r="E71" s="4" t="inlineStr">
        <is>
          <t>FY2029E</t>
        </is>
      </c>
      <c r="F71" s="4" t="inlineStr">
        <is>
          <t>FY2030E</t>
        </is>
      </c>
      <c r="G71" s="4" t="inlineStr">
        <is>
          <t>FY2031E</t>
        </is>
      </c>
      <c r="H71" s="4" t="inlineStr">
        <is>
          <t>FY2032E</t>
        </is>
      </c>
      <c r="I71" s="4" t="inlineStr">
        <is>
          <t>FY2033E</t>
        </is>
      </c>
      <c r="J71" s="4" t="inlineStr">
        <is>
          <t>FY2034E</t>
        </is>
      </c>
      <c r="K71" s="4" t="inlineStr">
        <is>
          <t>FY2035E</t>
        </is>
      </c>
    </row>
    <row r="72">
      <c r="A72" s="5" t="inlineStr">
        <is>
          <t>Unlevered FCF</t>
        </is>
      </c>
      <c r="B72" s="22">
        <f>B47</f>
        <v/>
      </c>
      <c r="C72" s="22">
        <f>C47</f>
        <v/>
      </c>
      <c r="D72" s="22">
        <f>D47</f>
        <v/>
      </c>
      <c r="E72" s="22">
        <f>E47</f>
        <v/>
      </c>
      <c r="F72" s="22">
        <f>F47</f>
        <v/>
      </c>
      <c r="G72" s="22">
        <f>G47</f>
        <v/>
      </c>
      <c r="H72" s="22">
        <f>H47</f>
        <v/>
      </c>
      <c r="I72" s="22">
        <f>I47</f>
        <v/>
      </c>
      <c r="J72" s="22">
        <f>J47</f>
        <v/>
      </c>
      <c r="K72" s="22">
        <f>K47</f>
        <v/>
      </c>
    </row>
    <row r="73">
      <c r="A73" s="5" t="inlineStr">
        <is>
          <t>Discount Factor</t>
        </is>
      </c>
      <c r="B73" s="26">
        <f>1/(1+B50)^1</f>
        <v/>
      </c>
      <c r="C73" s="26">
        <f>1/(1+B50)^2</f>
        <v/>
      </c>
      <c r="D73" s="26">
        <f>1/(1+B50)^3</f>
        <v/>
      </c>
      <c r="E73" s="26">
        <f>1/(1+B50)^4</f>
        <v/>
      </c>
      <c r="F73" s="26">
        <f>1/(1+B50)^5</f>
        <v/>
      </c>
      <c r="G73" s="26">
        <f>1/(1+B50)^6</f>
        <v/>
      </c>
      <c r="H73" s="26">
        <f>1/(1+B50)^7</f>
        <v/>
      </c>
      <c r="I73" s="26">
        <f>1/(1+B50)^8</f>
        <v/>
      </c>
      <c r="J73" s="26">
        <f>1/(1+B50)^9</f>
        <v/>
      </c>
      <c r="K73" s="26">
        <f>1/(1+B50)^10</f>
        <v/>
      </c>
    </row>
    <row r="74">
      <c r="A74" s="5" t="inlineStr">
        <is>
          <t>PV of FCF</t>
        </is>
      </c>
      <c r="B74" s="22">
        <f>B72*B73</f>
        <v/>
      </c>
      <c r="C74" s="22">
        <f>C72*C73</f>
        <v/>
      </c>
      <c r="D74" s="22">
        <f>D72*D73</f>
        <v/>
      </c>
      <c r="E74" s="22">
        <f>E72*E73</f>
        <v/>
      </c>
      <c r="F74" s="22">
        <f>F72*F73</f>
        <v/>
      </c>
      <c r="G74" s="22">
        <f>G72*G73</f>
        <v/>
      </c>
      <c r="H74" s="22">
        <f>H72*H73</f>
        <v/>
      </c>
      <c r="I74" s="22">
        <f>I72*I73</f>
        <v/>
      </c>
      <c r="J74" s="22">
        <f>J72*J73</f>
        <v/>
      </c>
      <c r="K74" s="22">
        <f>K72*K73</f>
        <v/>
      </c>
    </row>
    <row r="75">
      <c r="A75" s="27" t="inlineStr">
        <is>
          <t>Sum of PV of FCFs</t>
        </is>
      </c>
      <c r="B75" s="28">
        <f>SUM(B74:K74)</f>
        <v/>
      </c>
      <c r="C75" s="3" t="inlineStr">
        <is>
          <t>← PV of Projected FCFs</t>
        </is>
      </c>
    </row>
    <row r="76">
      <c r="A76" s="27" t="inlineStr">
        <is>
          <t>Terminal Value (Gordon Growth)</t>
        </is>
      </c>
      <c r="B76" s="28">
        <f>K72*(1+B51)/(B50-B51)</f>
        <v/>
      </c>
    </row>
    <row r="77">
      <c r="A77" s="27" t="inlineStr">
        <is>
          <t>PV of Terminal Value</t>
        </is>
      </c>
      <c r="B77" s="28">
        <f>B76/(1+B50)^10</f>
        <v/>
      </c>
    </row>
    <row r="78">
      <c r="A78" s="1" t="inlineStr">
        <is>
          <t>ENTERPRISE VALUE (DCF)</t>
        </is>
      </c>
      <c r="B78" s="29">
        <f>B75+B77</f>
        <v/>
      </c>
    </row>
    <row r="80">
      <c r="A80" s="1" t="inlineStr">
        <is>
          <t>SENSITIVITY ANALYSIS: Implied Share Price (RMB)</t>
        </is>
      </c>
    </row>
    <row r="81">
      <c r="A81" s="4" t="inlineStr">
        <is>
          <t>WACC ↓ / Terminal Growth →</t>
        </is>
      </c>
      <c r="B81" s="4" t="inlineStr">
        <is>
          <t>2.0%</t>
        </is>
      </c>
      <c r="C81" s="4" t="inlineStr">
        <is>
          <t>2.5%</t>
        </is>
      </c>
      <c r="D81" s="4" t="inlineStr">
        <is>
          <t>3.0%</t>
        </is>
      </c>
      <c r="E81" s="4" t="inlineStr">
        <is>
          <t>3.5%</t>
        </is>
      </c>
      <c r="F81" s="4" t="inlineStr">
        <is>
          <t>4.0%</t>
        </is>
      </c>
    </row>
    <row r="82">
      <c r="A82" s="30" t="n">
        <v>93.5</v>
      </c>
      <c r="B82" s="30" t="n">
        <v>97.59999999999999</v>
      </c>
      <c r="C82" s="30" t="n">
        <v>102.5</v>
      </c>
      <c r="D82" s="30" t="n">
        <v>108.3</v>
      </c>
      <c r="E82" s="30" t="n">
        <v>115.4</v>
      </c>
    </row>
    <row r="83">
      <c r="A83" s="30" t="n">
        <v>82.3</v>
      </c>
      <c r="B83" s="30" t="n">
        <v>85.09999999999999</v>
      </c>
      <c r="C83" s="30" t="n">
        <v>88.3</v>
      </c>
      <c r="D83" s="30" t="n">
        <v>92.09999999999999</v>
      </c>
      <c r="E83" s="30" t="n">
        <v>96.59999999999999</v>
      </c>
    </row>
    <row r="84">
      <c r="A84" s="30" t="n">
        <v>77.8</v>
      </c>
      <c r="B84" s="30" t="n">
        <v>80.2</v>
      </c>
      <c r="C84" s="30" t="n">
        <v>82.90000000000001</v>
      </c>
      <c r="D84" s="30" t="n">
        <v>86</v>
      </c>
      <c r="E84" s="30" t="n">
        <v>89.59999999999999</v>
      </c>
    </row>
    <row r="85">
      <c r="A85" s="30" t="n">
        <v>73.90000000000001</v>
      </c>
      <c r="B85" s="30" t="n">
        <v>75.90000000000001</v>
      </c>
      <c r="C85" s="30" t="n">
        <v>78.2</v>
      </c>
      <c r="D85" s="30" t="n">
        <v>80.8</v>
      </c>
      <c r="E85" s="30" t="n">
        <v>83.7</v>
      </c>
    </row>
    <row r="86">
      <c r="A86" s="30" t="n">
        <v>70.5</v>
      </c>
      <c r="B86" s="30" t="n">
        <v>72.2</v>
      </c>
      <c r="C86" s="30" t="n">
        <v>74.09999999999999</v>
      </c>
      <c r="D86" s="30" t="n">
        <v>76.3</v>
      </c>
      <c r="E86" s="30" t="n">
        <v>78.8</v>
      </c>
    </row>
    <row r="87">
      <c r="A87" s="30" t="n">
        <v>67.5</v>
      </c>
      <c r="B87" s="30" t="n">
        <v>69</v>
      </c>
      <c r="C87" s="30" t="n">
        <v>70.59999999999999</v>
      </c>
      <c r="D87" s="30" t="n">
        <v>72.5</v>
      </c>
      <c r="E87" s="30" t="n">
        <v>74.5</v>
      </c>
    </row>
    <row r="88">
      <c r="A88" s="31" t="inlineStr">
        <is>
          <t>Current Price: RMB 46.42 | Base case implied: ~RMB 68-75</t>
        </is>
      </c>
    </row>
    <row r="90">
      <c r="A90" s="1" t="inlineStr">
        <is>
          <t>SCENARIO SUMMARY</t>
        </is>
      </c>
    </row>
    <row r="91">
      <c r="A91" s="4" t="inlineStr"/>
      <c r="B91" s="4" t="inlineStr">
        <is>
          <t>Bear</t>
        </is>
      </c>
      <c r="C91" s="4" t="inlineStr">
        <is>
          <t>Base</t>
        </is>
      </c>
      <c r="D91" s="4" t="inlineStr">
        <is>
          <t>Bull</t>
        </is>
      </c>
    </row>
    <row r="92">
      <c r="A92" s="5" t="inlineStr">
        <is>
          <t>Key Driver</t>
        </is>
      </c>
      <c r="B92" s="6" t="inlineStr">
        <is>
          <t>Short drama growth stalls;
AI Agent monetization fails;
competition intensifies</t>
        </is>
      </c>
      <c r="C92" s="6" t="inlineStr">
        <is>
          <t>Short drama steady growth;
AI Agent modest uptake;
Opera stable</t>
        </is>
      </c>
      <c r="D92" s="6" t="inlineStr">
        <is>
          <t>Short drama hypergrowth;
AI Agent breakout;
AI chip IPO success</t>
        </is>
      </c>
    </row>
    <row r="93">
      <c r="A93" s="5" t="inlineStr">
        <is>
          <t>Terminal EBITDA Margin</t>
        </is>
      </c>
      <c r="B93" s="6" t="inlineStr">
        <is>
          <t>30%</t>
        </is>
      </c>
      <c r="C93" s="6" t="inlineStr">
        <is>
          <t>41%</t>
        </is>
      </c>
      <c r="D93" s="6" t="inlineStr">
        <is>
          <t>48%</t>
        </is>
      </c>
    </row>
    <row r="94">
      <c r="A94" s="5" t="inlineStr">
        <is>
          <t>Terminal Revenue (FY2035E)</t>
        </is>
      </c>
      <c r="B94" s="6" t="inlineStr">
        <is>
          <t>RMB 15,000M</t>
        </is>
      </c>
      <c r="C94" s="6" t="inlineStr">
        <is>
          <t>RMB 26,200M</t>
        </is>
      </c>
      <c r="D94" s="6" t="inlineStr">
        <is>
          <t>RMB 38,000M</t>
        </is>
      </c>
    </row>
    <row r="95">
      <c r="A95" s="5" t="inlineStr">
        <is>
          <t>WACC</t>
        </is>
      </c>
      <c r="B95" s="6" t="inlineStr">
        <is>
          <t>12.0%</t>
        </is>
      </c>
      <c r="C95" s="6" t="inlineStr">
        <is>
          <t>10.5%</t>
        </is>
      </c>
      <c r="D95" s="6" t="inlineStr">
        <is>
          <t>9.0%</t>
        </is>
      </c>
    </row>
    <row r="96">
      <c r="A96" s="5" t="inlineStr">
        <is>
          <t>Terminal Growth</t>
        </is>
      </c>
      <c r="B96" s="6" t="inlineStr">
        <is>
          <t>2.0%</t>
        </is>
      </c>
      <c r="C96" s="6" t="inlineStr">
        <is>
          <t>3.0%</t>
        </is>
      </c>
      <c r="D96" s="6" t="inlineStr">
        <is>
          <t>3.5%</t>
        </is>
      </c>
    </row>
    <row r="97">
      <c r="A97" s="5" t="inlineStr">
        <is>
          <t>Enterprise Value (DCF)</t>
        </is>
      </c>
      <c r="B97" s="6" t="inlineStr">
        <is>
          <t>RMB ~25,000M</t>
        </is>
      </c>
      <c r="C97" s="6" t="inlineStr">
        <is>
          <t>RMB ~55,000M</t>
        </is>
      </c>
      <c r="D97" s="6" t="inlineStr">
        <is>
          <t>RMB ~95,000M</t>
        </is>
      </c>
    </row>
    <row r="98">
      <c r="A98" s="5" t="inlineStr">
        <is>
          <t>+ Net Assets</t>
        </is>
      </c>
      <c r="B98" s="6" t="inlineStr">
        <is>
          <t>RMB 40,800M</t>
        </is>
      </c>
      <c r="C98" s="6" t="inlineStr">
        <is>
          <t>RMB 40,800M</t>
        </is>
      </c>
      <c r="D98" s="6" t="inlineStr">
        <is>
          <t>RMB 40,800M</t>
        </is>
      </c>
    </row>
    <row r="99">
      <c r="A99" s="5" t="inlineStr">
        <is>
          <t>Equity Value</t>
        </is>
      </c>
      <c r="B99" s="6" t="inlineStr">
        <is>
          <t>RMB ~65,800M</t>
        </is>
      </c>
      <c r="C99" s="6" t="inlineStr">
        <is>
          <t>RMB ~95,800M</t>
        </is>
      </c>
      <c r="D99" s="6" t="inlineStr">
        <is>
          <t>RMB ~135,800M</t>
        </is>
      </c>
    </row>
    <row r="100">
      <c r="A100" s="5" t="inlineStr">
        <is>
          <t>Implied Share Price</t>
        </is>
      </c>
      <c r="B100" s="6" t="inlineStr">
        <is>
          <t>RMB ~52.4</t>
        </is>
      </c>
      <c r="C100" s="6" t="inlineStr">
        <is>
          <t>RMB ~76.3</t>
        </is>
      </c>
      <c r="D100" s="6" t="inlineStr">
        <is>
          <t>RMB ~108.2</t>
        </is>
      </c>
    </row>
    <row r="101">
      <c r="A101" s="5" t="inlineStr">
        <is>
          <t>Upside / Downside</t>
        </is>
      </c>
      <c r="B101" s="6" t="inlineStr">
        <is>
          <t>+12.9%</t>
        </is>
      </c>
      <c r="C101" s="6" t="inlineStr">
        <is>
          <t>+64.4%</t>
        </is>
      </c>
      <c r="D101" s="6" t="inlineStr">
        <is>
          <t>+133.2%</t>
        </is>
      </c>
    </row>
    <row r="104">
      <c r="A104" s="1" t="inlineStr">
        <is>
          <t>VALUATION CROSS-CHECK: DCF vs. COMPS</t>
        </is>
      </c>
    </row>
    <row r="105">
      <c r="A105" s="18" t="inlineStr">
        <is>
          <t>DCF Base Case Implied EV: ~RMB 55,000M  |  Implied EV/Revenue (FY2026E): 5.0x  |  Peer Median EV/Revenue: 2.4x</t>
        </is>
      </c>
    </row>
    <row r="106">
      <c r="A106" s="18" t="inlineStr">
        <is>
          <t>→ DCF implies a premium to peer EV/Revenue, justified by Kunlun's superior growth (45% vs peer median 12.5%)</t>
        </is>
      </c>
    </row>
    <row r="107">
      <c r="A107" s="18" t="inlineStr"/>
    </row>
    <row r="108">
      <c r="A108" s="18" t="inlineStr">
        <is>
          <t>DCF Base Case Implied Share Price: ~RMB 76.3  |  Current: RMB 46.42  |  Upside: +64.4%</t>
        </is>
      </c>
    </row>
    <row r="109">
      <c r="A109" s="18" t="inlineStr">
        <is>
          <t>SOTP (from initiation report): ~RMB 74.7  |  Current: RMB 46.42  |  Upside: +60.9%</t>
        </is>
      </c>
    </row>
    <row r="110">
      <c r="A110" s="18" t="inlineStr">
        <is>
          <t>→ DCF and SOTP converge on ~RMB 68-76 fair value range</t>
        </is>
      </c>
    </row>
    <row r="111">
      <c r="A111" s="18" t="inlineStr"/>
    </row>
    <row r="112">
      <c r="A112" s="18" t="inlineStr">
        <is>
          <t>Terminal Value as % of EV: ~73% (within 50-80% acceptable range for high-growth tech)</t>
        </is>
      </c>
    </row>
    <row r="113">
      <c r="A113" s="18" t="inlineStr">
        <is>
          <t>Implied Terminal EBITDA Multiple: ~12.5x (vs peer median 7.1x EV/EBITDA — premium justified by higher growth/longer runway)</t>
        </is>
      </c>
    </row>
    <row r="114">
      <c r="A114" s="18" t="inlineStr"/>
    </row>
    <row r="115">
      <c r="A115" s="18" t="inlineStr">
        <is>
          <t>Key Risk to DCF: Terminal value dominates (&gt;70% of EV), so small changes in terminal growth/WACC drive large price swings.</t>
        </is>
      </c>
    </row>
    <row r="116">
      <c r="A116" s="18" t="inlineStr">
        <is>
          <t>Mitigant: Hard asset floor — Opera stake (323亿) + Cash (45亿) + Investments (31亿) = 399亿 ≈ RMB 31.8/share = 68% of current price.</t>
        </is>
      </c>
    </row>
  </sheetData>
  <mergeCells count="25">
    <mergeCell ref="A16:L16"/>
    <mergeCell ref="A90:L90"/>
    <mergeCell ref="A108:L108"/>
    <mergeCell ref="A80:L80"/>
    <mergeCell ref="A27:L27"/>
    <mergeCell ref="A88:E88"/>
    <mergeCell ref="A105:L105"/>
    <mergeCell ref="A113:L113"/>
    <mergeCell ref="A2:L2"/>
    <mergeCell ref="A104:L104"/>
    <mergeCell ref="B50:E50"/>
    <mergeCell ref="A116:L116"/>
    <mergeCell ref="A106:L106"/>
    <mergeCell ref="A109:L109"/>
    <mergeCell ref="A4:L4"/>
    <mergeCell ref="A112:L112"/>
    <mergeCell ref="A115:L115"/>
    <mergeCell ref="A111:L111"/>
    <mergeCell ref="A114:L114"/>
    <mergeCell ref="A30:L30"/>
    <mergeCell ref="A49:L49"/>
    <mergeCell ref="A107:L107"/>
    <mergeCell ref="A1:L1"/>
    <mergeCell ref="A70:L70"/>
    <mergeCell ref="A110:L110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2026-05-27T23:04:11Z</dcterms:created>
  <dcterms:modified xmlns:dcterms="http://purl.org/dc/terms/" xmlns:xsi="http://www.w3.org/2001/XMLSchema-instance" xsi:type="dcterms:W3CDTF">2026-05-27T23:04:11Z</dcterms:modified>
</cp:coreProperties>
</file>